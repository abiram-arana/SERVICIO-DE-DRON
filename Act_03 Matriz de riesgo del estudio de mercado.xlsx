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vmx-my.sharepoint.com/personal/zs22021355_estudiantes_uv_mx/Documents/09. Agosto 2025 - Enero 2025/Proyectos de inversión/"/>
    </mc:Choice>
  </mc:AlternateContent>
  <xr:revisionPtr revIDLastSave="2" documentId="8_{2C84A06A-3DF9-485F-9AC6-AF463B213652}" xr6:coauthVersionLast="47" xr6:coauthVersionMax="47" xr10:uidLastSave="{A5E9EB45-262C-4100-B59B-D7FEE10ED09C}"/>
  <bookViews>
    <workbookView xWindow="-120" yWindow="-120" windowWidth="20730" windowHeight="11040" xr2:uid="{BB169046-85FF-4940-BC12-52FED69CEDBA}"/>
  </bookViews>
  <sheets>
    <sheet name="Hoja de presentación " sheetId="9" r:id="rId1"/>
    <sheet name="escalas" sheetId="2" r:id="rId2"/>
    <sheet name="Generalidades" sheetId="5" r:id="rId3"/>
    <sheet name="Instrucciones" sheetId="7" r:id="rId4"/>
    <sheet name="Riesgos de mercado" sheetId="1" r:id="rId5"/>
  </sheets>
  <definedNames>
    <definedName name="_xlnm._FilterDatabase" localSheetId="4" hidden="1">'Riesgos de mercado'!$G$8:$M$8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J12" i="1"/>
  <c r="J11" i="1"/>
  <c r="J9" i="1"/>
  <c r="J10" i="1"/>
  <c r="E7" i="1"/>
  <c r="D7" i="1"/>
  <c r="C7" i="1"/>
  <c r="D6" i="1"/>
  <c r="E6" i="1"/>
  <c r="C6" i="1"/>
  <c r="D5" i="1"/>
  <c r="E5" i="1"/>
  <c r="C5" i="1"/>
</calcChain>
</file>

<file path=xl/sharedStrings.xml><?xml version="1.0" encoding="utf-8"?>
<sst xmlns="http://schemas.openxmlformats.org/spreadsheetml/2006/main" count="121" uniqueCount="87">
  <si>
    <t>Probabilidad</t>
  </si>
  <si>
    <t>Alta</t>
  </si>
  <si>
    <t>Medio</t>
  </si>
  <si>
    <t>Bajo</t>
  </si>
  <si>
    <t>Baja</t>
  </si>
  <si>
    <t>Media</t>
  </si>
  <si>
    <t>Impacto</t>
  </si>
  <si>
    <t>Alto</t>
  </si>
  <si>
    <t>Descripción</t>
  </si>
  <si>
    <t>Severidad</t>
  </si>
  <si>
    <t>Responsable</t>
  </si>
  <si>
    <t>Fecha</t>
  </si>
  <si>
    <t>Riesgo técnico</t>
  </si>
  <si>
    <t>Riesgos de mercado</t>
  </si>
  <si>
    <t>Están relacionados con la ejecución interna del proyecto, es decir, con su capacidad para alcanzar los objetivos planificados en términos de tiempo, costo y calidad. Son aquellos relacionados con la tecnología, el diseño, la operación y la capacidad de producción del proyecto. Estos riesgos pueden comprometer la viabilidad operativa o financiera del proyecto si no se gestionan adecuadamente.</t>
  </si>
  <si>
    <t>Análisis de riesgos</t>
  </si>
  <si>
    <t>Un análisis de riesgos es una herramienta que te ayudará a prever los riesgos y amenazas a los que está sometido tu proyecto para de esta manera poder realizar planes de contingencia y reducir el posible impacto en los procesos de la empresa.</t>
  </si>
  <si>
    <t xml:space="preserve">Son aquellos factores externos que afectan la rentabilidad o viabilidad del proyecto debido a cambios en el entorno del mercado. Estos riesgos pueden provenir de fluctuaciones en las condiciones económicas, la competencia, los precios, la demanda del producto o servicio, productos sustitutos, los canales de comercialización, entre otros. </t>
  </si>
  <si>
    <t>Riesgo financiero</t>
  </si>
  <si>
    <t>Riesgo organizacional/legal</t>
  </si>
  <si>
    <t>Matriz de riesgos</t>
  </si>
  <si>
    <t>Una matriz de riesgos es una herramienta de análisis de riesgos que te ayudará con la evaluación del riesgo, la probabilidad y el impacto del riesgo durante la planificación del proyecto. Deberás identificar la probabilidad y el impacto de cada riesgo para incorporarlos a tu matriz de riesgos y poder calcular así la calificación del impacto (severidad) de cada uno de ellos. Estas calificaciones ayudarán a tu equipo a determinar qué prioridad asignar a los riesgos del proyecto y a gestionarlos de manera efectiva, con acciones que permitan mitigar o eliminar el riesgo.</t>
  </si>
  <si>
    <t xml:space="preserve">Los riesgos financieros en un proyecto de inversión son aquellos que afectan la estabilidad económica y la rentabilidad del proyecto. Estos riesgos pueden impactar el flujo de efectivo, el acceso a capital, la estructura de costos o la capacidad del proyecto para generar las utilidades esperadas. </t>
  </si>
  <si>
    <t xml:space="preserve">Los riesgos organizativos y legales en un proyecto de inversión están relacionados con la estructura interna de la empresa, incluyendo la coordinación de recursos humanos, financieros y logísticos y el entorno normativo en el que opera. Una mala gestión puede derivar en la ineficiencia, retrasos o problemas operacionales que impacten la rentabilidad del proyecto. </t>
  </si>
  <si>
    <t>Elementos de una matriz de riesgos</t>
  </si>
  <si>
    <r>
      <t>1. Descripción del riesgo</t>
    </r>
    <r>
      <rPr>
        <sz val="11"/>
        <color theme="1"/>
        <rFont val="Calibri"/>
        <family val="2"/>
        <scheme val="minor"/>
      </rPr>
      <t>: Cada riesgo identificado debe ser claramente descrito, incluyendo su naturaleza y cómo podría afectar al proyecto.</t>
    </r>
  </si>
  <si>
    <r>
      <t>2. Categoría del riesgo</t>
    </r>
    <r>
      <rPr>
        <sz val="11"/>
        <color theme="1"/>
        <rFont val="Calibri"/>
        <family val="2"/>
        <scheme val="minor"/>
      </rPr>
      <t>: Los riesgos pueden ser clasificados en categorías como financieros, técnicos, operativos, organizativos, legales, de mercado, etc. Esta categorización ayuda a organizar y priorizar las acciones a tomar.</t>
    </r>
  </si>
  <si>
    <r>
      <t>6. Acción de mitigación</t>
    </r>
    <r>
      <rPr>
        <sz val="11"/>
        <color theme="1"/>
        <rFont val="Calibri"/>
        <family val="2"/>
        <scheme val="minor"/>
      </rPr>
      <t>: Se describen las acciones o estrategias que se implementarán para reducir la probabilidad o el impacto del riesgo, o para gestionarlo en caso de que ocurra.</t>
    </r>
  </si>
  <si>
    <r>
      <t>7. Responsable</t>
    </r>
    <r>
      <rPr>
        <sz val="11"/>
        <color theme="1"/>
        <rFont val="Calibri"/>
        <family val="2"/>
        <scheme val="minor"/>
      </rPr>
      <t>: Se identifica a la persona o equipo encargado de gestionar cada riesgo y asegurarse de que las acciones de mitigación se implementen correctamente.</t>
    </r>
  </si>
  <si>
    <t>Cómo llenar una matriz de riesgos</t>
  </si>
  <si>
    <r>
      <t>1. Identificación de riesgos</t>
    </r>
    <r>
      <rPr>
        <sz val="11"/>
        <color theme="1"/>
        <rFont val="Calibri"/>
        <family val="2"/>
        <scheme val="minor"/>
      </rPr>
      <t>: El primer paso es identificar todos los posibles riesgos que puedan afectar el proyecto de inversión. Esto se puede hacer a través de sesiones de lluvia de ideas con el equipo, análisis de proyectos anteriores o consultas con expertos.</t>
    </r>
  </si>
  <si>
    <r>
      <t>5. Planificación de la mitigación</t>
    </r>
    <r>
      <rPr>
        <sz val="11"/>
        <color theme="1"/>
        <rFont val="Calibri"/>
        <family val="2"/>
        <scheme val="minor"/>
      </rPr>
      <t>: Para cada riesgo, se debe definir una estrategia de mitigación. Esto puede implicar eliminar el riesgo, reducir su probabilidad o impacto, transferir el riesgo (por ejemplo, mediante un seguro) o aceptar el riesgo si no es crítico.</t>
    </r>
  </si>
  <si>
    <r>
      <t>6. Asignación de responsabilidades</t>
    </r>
    <r>
      <rPr>
        <sz val="11"/>
        <color theme="1"/>
        <rFont val="Calibri"/>
        <family val="2"/>
        <scheme val="minor"/>
      </rPr>
      <t>: Cada riesgo debe tener un responsable específico que sea encargado de monitorear el riesgo y asegurarse de que las acciones de mitigación se implementen. Esta persona o equipo debe tener la autoridad y los recursos necesarios para actuar en caso de que el riesgo se materialice.</t>
    </r>
  </si>
  <si>
    <r>
      <t>7. Monitoreo y actualización</t>
    </r>
    <r>
      <rPr>
        <sz val="11"/>
        <color theme="1"/>
        <rFont val="Calibri"/>
        <family val="2"/>
        <scheme val="minor"/>
      </rPr>
      <t>: La matriz de riesgos no es estática. Debe ser revisada y actualizada a lo largo del ciclo de vida del proyecto. Nuevos riesgos pueden surgir y los riesgos identificados pueden cambiar en términos de probabilidad e impacto. El monitoreo constante es esencial para gestionar los riesgos de manera efectiva.</t>
    </r>
  </si>
  <si>
    <t>MEDICIÓN DE RIESGOS EN LOS PROYECTOS DE INVERSIÓN</t>
  </si>
  <si>
    <r>
      <t>3. Probabilidad de ocurrencia</t>
    </r>
    <r>
      <rPr>
        <sz val="11"/>
        <color theme="1"/>
        <rFont val="Calibri"/>
        <family val="2"/>
        <scheme val="minor"/>
      </rPr>
      <t>: Se refiere a la posibilidad de que el riesgo se materialice. La probabilidad generalmente se clasifica en una escala de baja, media o alta, y se asigna una calificación en orden ascendente.</t>
    </r>
  </si>
  <si>
    <r>
      <t>4. Impacto</t>
    </r>
    <r>
      <rPr>
        <sz val="11"/>
        <color theme="1"/>
        <rFont val="Calibri"/>
        <family val="2"/>
        <scheme val="minor"/>
      </rPr>
      <t>: Evalúa el efecto que tendría el riesgo si ocurriera. Al igual que la probabilidad, puede clasificarse como bajo, medio o alto y se asigna también una calificación ascedente.</t>
    </r>
  </si>
  <si>
    <r>
      <t>5. Severidad (probabilidad x impacto)</t>
    </r>
    <r>
      <rPr>
        <sz val="11"/>
        <color theme="1"/>
        <rFont val="Calibri"/>
        <family val="2"/>
        <scheme val="minor"/>
      </rPr>
      <t>: Es el resultado de combinar la probabilidad de que ocurra el riesgo y su impacto. Esto permite priorizar los riesgos que requieren mayor atención. Los riesgos con alta probabilidad y alto impacto serán los más críticos.</t>
    </r>
  </si>
  <si>
    <t>Acciones de mitigación</t>
  </si>
  <si>
    <r>
      <t>8. Fecha:</t>
    </r>
    <r>
      <rPr>
        <sz val="11"/>
        <color theme="1"/>
        <rFont val="Calibri"/>
        <family val="2"/>
        <scheme val="minor"/>
      </rPr>
      <t xml:space="preserve"> Se asigna una fecha en la cuál debe ser atendido, esto es atendiendo al orden de prioridad.</t>
    </r>
  </si>
  <si>
    <r>
      <t>2. Clasificación de los riesgos</t>
    </r>
    <r>
      <rPr>
        <sz val="11"/>
        <color theme="1"/>
        <rFont val="Calibri"/>
        <family val="2"/>
        <scheme val="minor"/>
      </rPr>
      <t>: Una vez identificados, los riesgos deben ser clasificados en categorías según su tipo (de mercado, técnicos, organizativo/legales, financieros).</t>
    </r>
  </si>
  <si>
    <r>
      <t>3. Evaluación de probabilidad e impacto</t>
    </r>
    <r>
      <rPr>
        <sz val="11"/>
        <color theme="1"/>
        <rFont val="Calibri"/>
        <family val="2"/>
        <scheme val="minor"/>
      </rPr>
      <t xml:space="preserve">: Se asigna un valor a la </t>
    </r>
    <r>
      <rPr>
        <b/>
        <sz val="11"/>
        <color theme="1"/>
        <rFont val="Calibri"/>
        <family val="2"/>
        <scheme val="minor"/>
      </rPr>
      <t>probabilidad</t>
    </r>
    <r>
      <rPr>
        <sz val="11"/>
        <color theme="1"/>
        <rFont val="Calibri"/>
        <family val="2"/>
        <scheme val="minor"/>
      </rPr>
      <t xml:space="preserve"> y al </t>
    </r>
    <r>
      <rPr>
        <b/>
        <sz val="11"/>
        <color theme="1"/>
        <rFont val="Calibri"/>
        <family val="2"/>
        <scheme val="minor"/>
      </rPr>
      <t>impacto</t>
    </r>
    <r>
      <rPr>
        <sz val="11"/>
        <color theme="1"/>
        <rFont val="Calibri"/>
        <family val="2"/>
        <scheme val="minor"/>
      </rPr>
      <t xml:space="preserve"> de cada riesgo. Esto se puede hacer en una escala cualitativa (por ejemplo: bajo, medio, alto). De manera automática la matriz asignará el valor.</t>
    </r>
  </si>
  <si>
    <r>
      <t>4. Cálculo de la severidad del riesgo</t>
    </r>
    <r>
      <rPr>
        <sz val="11"/>
        <color theme="1"/>
        <rFont val="Calibri"/>
        <family val="2"/>
        <scheme val="minor"/>
      </rPr>
      <t>: El nivel de riesgo es el resultado de multiplicar la probabilidad por el impacto. Esto se hace para priorizar los riesgos y concentrar los esfuerzos en los que son más críticos para el proyecto. Si se usa una escala de 1 a 5 para ambos factores, el nivel de riesgo resultará en una escala de 1 a 10, donde los valores más altos representan los riesgos más críticos.</t>
    </r>
  </si>
  <si>
    <t>Agricultores tradicionales pueden desconfiar del dron o preferir métodos convencionales.</t>
  </si>
  <si>
    <t>Empresas cercanas pueden replicar el modelo si perciben rentabilidad.</t>
  </si>
  <si>
    <t>Cambios en costos pueden afectar el margen si no se ajusta el precio de venta.</t>
  </si>
  <si>
    <t>El servicio depende de condiciones climáticas y funcionamiento del dron.</t>
  </si>
  <si>
    <t>Una mala aplicación puede dañar cultivos y reputación.</t>
  </si>
  <si>
    <t>Cambios en normativas pueden restringir vuelos o modificar el régimen fiscal</t>
  </si>
  <si>
    <t>Si no se construye relación a largo plazo, el cliente puede migrar fácilmente.</t>
  </si>
  <si>
    <t>Acceso difícil, falta de señal o infraestructura pueden retrasar el servicio.</t>
  </si>
  <si>
    <t>Demostraciones en campo, educación técnica personalizada</t>
  </si>
  <si>
    <t>Diversificar proveedores, establecer convenios formales</t>
  </si>
  <si>
    <t>Refacciones, agroquímicos y soporte técnico dependen de pocos proveedores</t>
  </si>
  <si>
    <t>Fidelización de clientes, posicionamiento técnico</t>
  </si>
  <si>
    <t>Protocolos de contingencia, mantenimiento preventivo</t>
  </si>
  <si>
    <t>Capacitación rigurosa, validación técnica previa</t>
  </si>
  <si>
    <t>Asesoría legal continua, cumplimiento normativo activo</t>
  </si>
  <si>
    <t>Diferenciación por servicio, innovación continua</t>
  </si>
  <si>
    <t>Seguimiento post-servicio, membresías, descuentos</t>
  </si>
  <si>
    <t>Planificación logística anticipada, rutas optimizadas</t>
  </si>
  <si>
    <t>Ventas</t>
  </si>
  <si>
    <t>Compras</t>
  </si>
  <si>
    <t>Investigación y desarrollo</t>
  </si>
  <si>
    <t>A través de externos</t>
  </si>
  <si>
    <t xml:space="preserve">Ventas </t>
  </si>
  <si>
    <t>Si muchos competidores entran, los precios pueden caer y la competencia aumentar.</t>
  </si>
  <si>
    <t>Control y monitoreo de costos y analisis financiero</t>
  </si>
  <si>
    <t>Finanzas</t>
  </si>
  <si>
    <t>Abogados</t>
  </si>
  <si>
    <t>Universidad Veracruzana</t>
  </si>
  <si>
    <t>Facultad de Negocios y Tecnologías</t>
  </si>
  <si>
    <t>Campus Ixtaczoquitlan</t>
  </si>
  <si>
    <t>DronVer Solution</t>
  </si>
  <si>
    <t>Equipo:</t>
  </si>
  <si>
    <t>Arana Sanchez Abiram</t>
  </si>
  <si>
    <t>Noriega Apango Jocelyn</t>
  </si>
  <si>
    <t>Polanco Alvarado Kaled Azael</t>
  </si>
  <si>
    <t>Razo Illescas Fátima Nicol</t>
  </si>
  <si>
    <t>Grado y grupo</t>
  </si>
  <si>
    <t>702C  Contaduría</t>
  </si>
  <si>
    <t>Experiencia Educativa:</t>
  </si>
  <si>
    <t>Proyectos de Inversión</t>
  </si>
  <si>
    <t>Docente</t>
  </si>
  <si>
    <t>Cabrera Cabello Eva</t>
  </si>
  <si>
    <t>18 de octubre del 2025</t>
  </si>
  <si>
    <t>Matriz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</si>
</sst>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6" fillId="4" borderId="1" xfId="1" applyFont="1" applyFill="1" applyAlignment="1">
      <alignment vertical="center" wrapText="1"/>
    </xf>
    <xf numFmtId="0" fontId="0" fillId="5" borderId="0" xfId="0" applyFill="1"/>
    <xf numFmtId="0" fontId="3" fillId="5" borderId="0" xfId="0" applyFont="1" applyFill="1" applyAlignment="1">
      <alignment horizontal="left" vertical="center" wrapText="1"/>
    </xf>
    <xf numFmtId="0" fontId="0" fillId="5" borderId="0" xfId="0" applyFill="1" applyAlignment="1">
      <alignment wrapText="1"/>
    </xf>
    <xf numFmtId="0" fontId="0" fillId="6" borderId="0" xfId="0" applyFill="1"/>
    <xf numFmtId="0" fontId="3" fillId="6" borderId="0" xfId="0" applyFont="1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4" borderId="1" xfId="1" applyFont="1" applyFill="1" applyAlignment="1">
      <alignment horizontal="center" vertical="center" wrapText="1"/>
    </xf>
    <xf numFmtId="0" fontId="1" fillId="0" borderId="1" xfId="1" applyAlignment="1">
      <alignment horizontal="center"/>
    </xf>
    <xf numFmtId="0" fontId="2" fillId="0" borderId="0" xfId="2" applyBorder="1" applyAlignment="1">
      <alignment wrapText="1"/>
    </xf>
    <xf numFmtId="0" fontId="2" fillId="0" borderId="0" xfId="2" applyBorder="1"/>
    <xf numFmtId="0" fontId="2" fillId="0" borderId="0" xfId="2" applyBorder="1" applyAlignment="1">
      <alignment horizontal="center"/>
    </xf>
    <xf numFmtId="0" fontId="2" fillId="0" borderId="0" xfId="2" applyFill="1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4" fillId="0" borderId="0" xfId="0" applyFont="1" applyAlignment="1">
      <alignment horizontal="center"/>
    </xf>
    <xf numFmtId="0" fontId="0" fillId="9" borderId="0" xfId="0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center" wrapText="1"/>
    </xf>
    <xf numFmtId="0" fontId="0" fillId="0" borderId="0" xfId="0"/>
  </cellXfs>
  <cellStyles count="3">
    <cellStyle name="Normal" xfId="0" builtinId="0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500548</xdr:colOff>
      <xdr:row>1</xdr:row>
      <xdr:rowOff>87898</xdr:rowOff>
    </xdr:from>
    <xdr:to>
      <xdr:col>5</xdr:col>
      <xdr:colOff>514349</xdr:colOff>
      <xdr:row>7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4ACD93-52DC-4C71-B0C5-865CC76547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820"/>
        <a:stretch>
          <a:fillRect/>
        </a:stretch>
      </xdr:blipFill>
      <xdr:spPr bwMode="auto">
        <a:xfrm>
          <a:off x="1243498" y="268873"/>
          <a:ext cx="1690201" cy="1131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9F06-918D-4563-8380-A6AF3E60C09E}">
  <dimension ref="A3:AB41"/>
  <sheetViews>
    <sheetView tabSelected="1" workbookViewId="0">
      <selection activeCell="D10" sqref="D10:O10"/>
    </sheetView>
  </sheetViews>
  <sheetFormatPr baseColWidth="10" defaultRowHeight="15" x14ac:dyDescent="0.25"/>
  <cols>
    <col min="1" max="1" width="3.42578125" style="26" customWidth="1"/>
    <col min="2" max="2" width="3.85546875" style="27" customWidth="1"/>
    <col min="3" max="3" width="3.85546875" customWidth="1"/>
    <col min="15" max="15" width="5" customWidth="1"/>
    <col min="16" max="16" width="3.7109375" style="29" customWidth="1"/>
    <col min="17" max="17" width="3.5703125" style="26" customWidth="1"/>
  </cols>
  <sheetData>
    <row r="3" spans="1:28" x14ac:dyDescent="0.25">
      <c r="D3" s="28" t="s">
        <v>70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28" x14ac:dyDescent="0.25"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28" x14ac:dyDescent="0.25">
      <c r="D5" s="30" t="s">
        <v>71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28" x14ac:dyDescent="0.25"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28" x14ac:dyDescent="0.25">
      <c r="D7" s="30" t="s">
        <v>72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28" x14ac:dyDescent="0.25"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1:28" x14ac:dyDescent="0.25"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28" x14ac:dyDescent="0.25"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1:28" ht="18.75" x14ac:dyDescent="0.3">
      <c r="D11" s="31" t="s">
        <v>86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28" x14ac:dyDescent="0.25"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28" ht="31.5" customHeight="1" x14ac:dyDescent="0.35">
      <c r="D13" s="33" t="s">
        <v>73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28" x14ac:dyDescent="0.25"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28" x14ac:dyDescent="0.25">
      <c r="D15" s="30" t="s">
        <v>74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1:28" s="29" customFormat="1" x14ac:dyDescent="0.25">
      <c r="A16" s="26"/>
      <c r="B16" s="27"/>
      <c r="C16"/>
      <c r="D16" s="28" t="s">
        <v>75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Q16" s="26"/>
      <c r="R16"/>
      <c r="S16"/>
      <c r="T16"/>
      <c r="U16"/>
      <c r="V16"/>
      <c r="W16"/>
      <c r="X16"/>
      <c r="Y16"/>
      <c r="Z16"/>
      <c r="AA16"/>
      <c r="AB16"/>
    </row>
    <row r="17" spans="1:28" s="29" customFormat="1" x14ac:dyDescent="0.25">
      <c r="A17" s="26"/>
      <c r="B17" s="27"/>
      <c r="C17"/>
      <c r="D17" s="28" t="s">
        <v>76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Q17" s="26"/>
      <c r="R17"/>
      <c r="S17"/>
      <c r="T17"/>
      <c r="U17"/>
      <c r="V17"/>
      <c r="W17"/>
      <c r="X17"/>
      <c r="Y17"/>
      <c r="Z17"/>
      <c r="AA17"/>
      <c r="AB17"/>
    </row>
    <row r="18" spans="1:28" s="29" customFormat="1" x14ac:dyDescent="0.25">
      <c r="A18" s="26"/>
      <c r="B18" s="27"/>
      <c r="C18"/>
      <c r="D18" s="28" t="s">
        <v>77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Q18" s="26"/>
      <c r="R18"/>
      <c r="S18"/>
      <c r="T18"/>
      <c r="U18"/>
      <c r="V18"/>
      <c r="W18"/>
      <c r="X18"/>
      <c r="Y18"/>
      <c r="Z18"/>
      <c r="AA18"/>
      <c r="AB18"/>
    </row>
    <row r="19" spans="1:28" s="29" customFormat="1" x14ac:dyDescent="0.25">
      <c r="A19" s="26"/>
      <c r="B19" s="27"/>
      <c r="C19"/>
      <c r="D19" s="28" t="s">
        <v>78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Q19" s="26"/>
      <c r="R19"/>
      <c r="S19"/>
      <c r="T19"/>
      <c r="U19"/>
      <c r="V19"/>
      <c r="W19"/>
      <c r="X19"/>
      <c r="Y19"/>
      <c r="Z19"/>
      <c r="AA19"/>
      <c r="AB19"/>
    </row>
    <row r="20" spans="1:28" s="29" customFormat="1" x14ac:dyDescent="0.25">
      <c r="A20" s="26"/>
      <c r="B20" s="27"/>
      <c r="C20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Q20" s="26"/>
      <c r="R20"/>
      <c r="S20"/>
      <c r="T20"/>
      <c r="U20"/>
      <c r="V20"/>
      <c r="W20"/>
      <c r="X20"/>
      <c r="Y20"/>
      <c r="Z20"/>
      <c r="AA20"/>
      <c r="AB20"/>
    </row>
    <row r="21" spans="1:28" s="29" customFormat="1" x14ac:dyDescent="0.25">
      <c r="A21" s="26"/>
      <c r="B21" s="27"/>
      <c r="C2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Q21" s="26"/>
      <c r="R21"/>
      <c r="S21"/>
      <c r="T21"/>
      <c r="U21"/>
      <c r="V21"/>
      <c r="W21"/>
      <c r="X21"/>
      <c r="Y21"/>
      <c r="Z21"/>
      <c r="AA21"/>
      <c r="AB21"/>
    </row>
    <row r="22" spans="1:28" s="29" customFormat="1" x14ac:dyDescent="0.25">
      <c r="A22" s="26"/>
      <c r="B22" s="27"/>
      <c r="C22"/>
      <c r="D22" s="30" t="s">
        <v>79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Q22" s="26"/>
      <c r="R22"/>
      <c r="S22"/>
      <c r="T22"/>
      <c r="U22"/>
      <c r="V22"/>
      <c r="W22"/>
      <c r="X22"/>
      <c r="Y22"/>
      <c r="Z22"/>
      <c r="AA22"/>
      <c r="AB22"/>
    </row>
    <row r="23" spans="1:28" s="29" customFormat="1" x14ac:dyDescent="0.25">
      <c r="A23" s="26"/>
      <c r="B23" s="27"/>
      <c r="C23"/>
      <c r="D23" s="28" t="s">
        <v>80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Q23" s="26"/>
      <c r="R23"/>
      <c r="S23"/>
      <c r="T23"/>
      <c r="U23"/>
      <c r="V23"/>
      <c r="W23"/>
      <c r="X23"/>
      <c r="Y23"/>
      <c r="Z23"/>
      <c r="AA23"/>
      <c r="AB23"/>
    </row>
    <row r="24" spans="1:28" s="29" customFormat="1" x14ac:dyDescent="0.25">
      <c r="A24" s="26"/>
      <c r="B24" s="27"/>
      <c r="C2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Q24" s="26"/>
      <c r="R24"/>
      <c r="S24"/>
      <c r="T24"/>
      <c r="U24"/>
      <c r="V24"/>
      <c r="W24"/>
      <c r="X24"/>
      <c r="Y24"/>
      <c r="Z24"/>
      <c r="AA24"/>
      <c r="AB24"/>
    </row>
    <row r="25" spans="1:28" s="29" customFormat="1" x14ac:dyDescent="0.25">
      <c r="A25" s="26"/>
      <c r="B25" s="27"/>
      <c r="C25"/>
      <c r="D25" s="30" t="s">
        <v>81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Q25" s="26"/>
      <c r="R25"/>
      <c r="S25"/>
      <c r="T25"/>
      <c r="U25"/>
      <c r="V25"/>
      <c r="W25"/>
      <c r="X25"/>
      <c r="Y25"/>
      <c r="Z25"/>
      <c r="AA25"/>
      <c r="AB25"/>
    </row>
    <row r="26" spans="1:28" s="29" customFormat="1" x14ac:dyDescent="0.25">
      <c r="A26" s="26"/>
      <c r="B26" s="27"/>
      <c r="C26"/>
      <c r="D26" s="28" t="s">
        <v>82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1"/>
      <c r="Q26" s="26"/>
      <c r="R26"/>
      <c r="S26"/>
      <c r="T26"/>
      <c r="U26"/>
      <c r="V26"/>
      <c r="W26"/>
      <c r="X26"/>
      <c r="Y26"/>
      <c r="Z26"/>
      <c r="AA26"/>
      <c r="AB26"/>
    </row>
    <row r="27" spans="1:28" s="29" customFormat="1" x14ac:dyDescent="0.25">
      <c r="A27" s="26"/>
      <c r="B27" s="27"/>
      <c r="C27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1"/>
      <c r="Q27" s="26"/>
      <c r="R27"/>
      <c r="S27"/>
      <c r="T27"/>
      <c r="U27"/>
      <c r="V27"/>
      <c r="W27"/>
      <c r="X27"/>
      <c r="Y27"/>
      <c r="Z27"/>
      <c r="AA27"/>
      <c r="AB27"/>
    </row>
    <row r="28" spans="1:28" s="29" customFormat="1" x14ac:dyDescent="0.25">
      <c r="A28" s="26"/>
      <c r="B28" s="27"/>
      <c r="C28"/>
      <c r="D28" s="30" t="s">
        <v>83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1"/>
      <c r="Q28" s="26"/>
      <c r="R28"/>
      <c r="S28"/>
      <c r="T28"/>
      <c r="U28"/>
      <c r="V28"/>
      <c r="W28"/>
      <c r="X28"/>
      <c r="Y28"/>
      <c r="Z28"/>
      <c r="AA28"/>
      <c r="AB28"/>
    </row>
    <row r="29" spans="1:28" s="29" customFormat="1" x14ac:dyDescent="0.25">
      <c r="A29" s="26"/>
      <c r="B29" s="27"/>
      <c r="C29"/>
      <c r="D29" s="28" t="s">
        <v>84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1"/>
      <c r="Q29" s="26"/>
      <c r="R29"/>
      <c r="S29"/>
      <c r="T29"/>
      <c r="U29"/>
      <c r="V29"/>
      <c r="W29"/>
      <c r="X29"/>
      <c r="Y29"/>
      <c r="Z29"/>
      <c r="AA29"/>
      <c r="AB29"/>
    </row>
    <row r="30" spans="1:28" s="29" customFormat="1" x14ac:dyDescent="0.25">
      <c r="A30" s="26"/>
      <c r="B30" s="27"/>
      <c r="C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1"/>
      <c r="Q30" s="26"/>
      <c r="R30"/>
      <c r="S30"/>
      <c r="T30"/>
      <c r="U30"/>
      <c r="V30"/>
      <c r="W30"/>
      <c r="X30"/>
      <c r="Y30"/>
      <c r="Z30"/>
      <c r="AA30"/>
      <c r="AB30"/>
    </row>
    <row r="31" spans="1:28" s="29" customFormat="1" x14ac:dyDescent="0.25">
      <c r="A31" s="26"/>
      <c r="B31" s="27"/>
      <c r="C31"/>
      <c r="D31" s="30" t="s">
        <v>11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1"/>
      <c r="Q31" s="26"/>
      <c r="R31"/>
      <c r="S31"/>
      <c r="T31"/>
      <c r="U31"/>
      <c r="V31"/>
      <c r="W31"/>
      <c r="X31"/>
      <c r="Y31"/>
      <c r="Z31"/>
      <c r="AA31"/>
      <c r="AB31"/>
    </row>
    <row r="32" spans="1:28" s="29" customFormat="1" x14ac:dyDescent="0.25">
      <c r="A32" s="26"/>
      <c r="B32" s="27"/>
      <c r="C32"/>
      <c r="D32" s="28" t="s">
        <v>85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"/>
      <c r="Q32" s="26"/>
      <c r="R32"/>
      <c r="S32"/>
      <c r="T32"/>
      <c r="U32"/>
      <c r="V32"/>
      <c r="W32"/>
      <c r="X32"/>
      <c r="Y32"/>
      <c r="Z32"/>
      <c r="AA32"/>
      <c r="AB32"/>
    </row>
    <row r="33" spans="1:28" s="29" customFormat="1" x14ac:dyDescent="0.25">
      <c r="A33" s="26"/>
      <c r="B33" s="27"/>
      <c r="C33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1"/>
      <c r="Q33" s="26"/>
      <c r="R33"/>
      <c r="S33"/>
      <c r="T33"/>
      <c r="U33"/>
      <c r="V33"/>
      <c r="W33"/>
      <c r="X33"/>
      <c r="Y33"/>
      <c r="Z33"/>
      <c r="AA33"/>
      <c r="AB33"/>
    </row>
    <row r="34" spans="1:28" s="29" customFormat="1" x14ac:dyDescent="0.25">
      <c r="A34" s="26"/>
      <c r="B34" s="27"/>
      <c r="C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/>
      <c r="Q34" s="26"/>
      <c r="R34"/>
      <c r="S34"/>
      <c r="T34"/>
      <c r="U34"/>
      <c r="V34"/>
      <c r="W34"/>
      <c r="X34"/>
      <c r="Y34"/>
      <c r="Z34"/>
      <c r="AA34"/>
      <c r="AB34"/>
    </row>
    <row r="35" spans="1:28" s="29" customFormat="1" x14ac:dyDescent="0.25">
      <c r="A35" s="26"/>
      <c r="B35" s="27"/>
      <c r="C35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/>
      <c r="Q35" s="26"/>
    </row>
    <row r="36" spans="1:28" s="29" customFormat="1" x14ac:dyDescent="0.25">
      <c r="A36" s="26"/>
      <c r="B36" s="27"/>
      <c r="C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/>
      <c r="Q36" s="26"/>
    </row>
    <row r="37" spans="1:28" x14ac:dyDescent="0.25"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28" x14ac:dyDescent="0.25"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28" x14ac:dyDescent="0.25"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8" x14ac:dyDescent="0.25"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28" x14ac:dyDescent="0.25"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</sheetData>
  <mergeCells count="39">
    <mergeCell ref="D39:N39"/>
    <mergeCell ref="D40:N40"/>
    <mergeCell ref="D41:N41"/>
    <mergeCell ref="D16:O16"/>
    <mergeCell ref="D18:O18"/>
    <mergeCell ref="D19:O19"/>
    <mergeCell ref="D20:O20"/>
    <mergeCell ref="D33:N33"/>
    <mergeCell ref="D34:N34"/>
    <mergeCell ref="D35:N35"/>
    <mergeCell ref="D36:N36"/>
    <mergeCell ref="D37:N37"/>
    <mergeCell ref="D38:N38"/>
    <mergeCell ref="D27:N27"/>
    <mergeCell ref="D28:N28"/>
    <mergeCell ref="D29:N29"/>
    <mergeCell ref="D30:N30"/>
    <mergeCell ref="D31:N31"/>
    <mergeCell ref="D32:N32"/>
    <mergeCell ref="D21:O21"/>
    <mergeCell ref="D22:O22"/>
    <mergeCell ref="D23:O23"/>
    <mergeCell ref="D24:O24"/>
    <mergeCell ref="D25:O25"/>
    <mergeCell ref="D26:N26"/>
    <mergeCell ref="D15:O15"/>
    <mergeCell ref="D17:O17"/>
    <mergeCell ref="D9:O9"/>
    <mergeCell ref="D10:O10"/>
    <mergeCell ref="D11:O11"/>
    <mergeCell ref="D12:O12"/>
    <mergeCell ref="D13:O13"/>
    <mergeCell ref="D14:O14"/>
    <mergeCell ref="D3:O3"/>
    <mergeCell ref="D4:O4"/>
    <mergeCell ref="D5:O5"/>
    <mergeCell ref="D6:O6"/>
    <mergeCell ref="D7:O7"/>
    <mergeCell ref="D8:O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C3BD-B70A-41F4-B514-7671F528F252}">
  <dimension ref="A1:B5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6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2</v>
      </c>
    </row>
    <row r="5" spans="1:2" x14ac:dyDescent="0.25">
      <c r="A5" t="s">
        <v>1</v>
      </c>
      <c r="B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972-5A44-4023-8099-99DD099F10D5}">
  <dimension ref="A1:D9"/>
  <sheetViews>
    <sheetView workbookViewId="0">
      <selection sqref="A1:D1"/>
    </sheetView>
  </sheetViews>
  <sheetFormatPr baseColWidth="10" defaultRowHeight="18.75" x14ac:dyDescent="0.25"/>
  <cols>
    <col min="1" max="1" width="2.7109375" style="11" customWidth="1"/>
    <col min="2" max="2" width="25" style="12" customWidth="1"/>
    <col min="3" max="3" width="87.5703125" style="13" customWidth="1"/>
    <col min="4" max="4" width="2.7109375" style="11" customWidth="1"/>
    <col min="5" max="16384" width="11.42578125" style="11"/>
  </cols>
  <sheetData>
    <row r="1" spans="1:4" ht="13.5" customHeight="1" x14ac:dyDescent="0.25">
      <c r="A1" s="8"/>
      <c r="B1" s="9"/>
      <c r="C1" s="10"/>
      <c r="D1" s="8"/>
    </row>
    <row r="2" spans="1:4" ht="29.25" customHeight="1" thickBot="1" x14ac:dyDescent="0.3">
      <c r="A2" s="8"/>
      <c r="B2" s="16" t="s">
        <v>34</v>
      </c>
      <c r="C2" s="16"/>
      <c r="D2" s="8"/>
    </row>
    <row r="3" spans="1:4" ht="45.75" thickTop="1" x14ac:dyDescent="0.25">
      <c r="A3" s="8"/>
      <c r="B3" s="12" t="s">
        <v>15</v>
      </c>
      <c r="C3" s="13" t="s">
        <v>16</v>
      </c>
      <c r="D3" s="8"/>
    </row>
    <row r="4" spans="1:4" ht="105" x14ac:dyDescent="0.25">
      <c r="A4" s="8"/>
      <c r="B4" s="12" t="s">
        <v>20</v>
      </c>
      <c r="C4" s="13" t="s">
        <v>21</v>
      </c>
      <c r="D4" s="8"/>
    </row>
    <row r="5" spans="1:4" ht="60" x14ac:dyDescent="0.25">
      <c r="A5" s="8"/>
      <c r="B5" s="12" t="s">
        <v>13</v>
      </c>
      <c r="C5" s="13" t="s">
        <v>17</v>
      </c>
      <c r="D5" s="8"/>
    </row>
    <row r="6" spans="1:4" ht="75" x14ac:dyDescent="0.25">
      <c r="A6" s="8"/>
      <c r="B6" s="12" t="s">
        <v>12</v>
      </c>
      <c r="C6" s="13" t="s">
        <v>14</v>
      </c>
      <c r="D6" s="8"/>
    </row>
    <row r="7" spans="1:4" ht="60" x14ac:dyDescent="0.25">
      <c r="A7" s="8"/>
      <c r="B7" s="12" t="s">
        <v>19</v>
      </c>
      <c r="C7" s="13" t="s">
        <v>23</v>
      </c>
      <c r="D7" s="8"/>
    </row>
    <row r="8" spans="1:4" ht="60" x14ac:dyDescent="0.25">
      <c r="A8" s="8"/>
      <c r="B8" s="12" t="s">
        <v>18</v>
      </c>
      <c r="C8" s="13" t="s">
        <v>22</v>
      </c>
      <c r="D8" s="8"/>
    </row>
    <row r="9" spans="1:4" ht="12" customHeight="1" x14ac:dyDescent="0.25">
      <c r="A9" s="8"/>
      <c r="B9" s="9"/>
      <c r="C9" s="10"/>
      <c r="D9" s="8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1AC9-2463-419B-9307-706259DC72D3}">
  <dimension ref="A1:C35"/>
  <sheetViews>
    <sheetView topLeftCell="A28" workbookViewId="0">
      <selection activeCell="B38" sqref="B38"/>
    </sheetView>
  </sheetViews>
  <sheetFormatPr baseColWidth="10" defaultRowHeight="15" x14ac:dyDescent="0.25"/>
  <cols>
    <col min="1" max="1" width="2.28515625" style="11" customWidth="1"/>
    <col min="2" max="2" width="128.5703125" style="13" customWidth="1"/>
    <col min="3" max="3" width="2.140625" style="11" customWidth="1"/>
    <col min="4" max="16384" width="11.42578125" style="11"/>
  </cols>
  <sheetData>
    <row r="1" spans="1:3" ht="9.75" customHeight="1" x14ac:dyDescent="0.25">
      <c r="A1" s="8"/>
      <c r="B1" s="10"/>
      <c r="C1" s="8"/>
    </row>
    <row r="2" spans="1:3" ht="24" thickBot="1" x14ac:dyDescent="0.3">
      <c r="A2" s="8"/>
      <c r="B2" s="7" t="s">
        <v>24</v>
      </c>
      <c r="C2" s="8"/>
    </row>
    <row r="3" spans="1:3" ht="15.75" thickTop="1" x14ac:dyDescent="0.25">
      <c r="A3" s="8"/>
      <c r="B3" s="14"/>
      <c r="C3" s="8"/>
    </row>
    <row r="4" spans="1:3" x14ac:dyDescent="0.25">
      <c r="A4" s="8"/>
      <c r="B4" s="15" t="s">
        <v>25</v>
      </c>
      <c r="C4" s="8"/>
    </row>
    <row r="5" spans="1:3" x14ac:dyDescent="0.25">
      <c r="A5" s="8"/>
      <c r="B5" s="14"/>
      <c r="C5" s="8"/>
    </row>
    <row r="6" spans="1:3" ht="30" x14ac:dyDescent="0.25">
      <c r="A6" s="8"/>
      <c r="B6" s="15" t="s">
        <v>26</v>
      </c>
      <c r="C6" s="8"/>
    </row>
    <row r="7" spans="1:3" x14ac:dyDescent="0.25">
      <c r="A7" s="8"/>
      <c r="B7" s="14"/>
      <c r="C7" s="8"/>
    </row>
    <row r="8" spans="1:3" ht="30" x14ac:dyDescent="0.25">
      <c r="A8" s="8"/>
      <c r="B8" s="15" t="s">
        <v>35</v>
      </c>
      <c r="C8" s="8"/>
    </row>
    <row r="9" spans="1:3" x14ac:dyDescent="0.25">
      <c r="A9" s="8"/>
      <c r="B9" s="14"/>
      <c r="C9" s="8"/>
    </row>
    <row r="10" spans="1:3" ht="30" x14ac:dyDescent="0.25">
      <c r="A10" s="8"/>
      <c r="B10" s="15" t="s">
        <v>36</v>
      </c>
      <c r="C10" s="8"/>
    </row>
    <row r="11" spans="1:3" x14ac:dyDescent="0.25">
      <c r="A11" s="8"/>
      <c r="B11" s="14"/>
      <c r="C11" s="8"/>
    </row>
    <row r="12" spans="1:3" ht="30" x14ac:dyDescent="0.25">
      <c r="A12" s="8"/>
      <c r="B12" s="15" t="s">
        <v>37</v>
      </c>
      <c r="C12" s="8"/>
    </row>
    <row r="13" spans="1:3" x14ac:dyDescent="0.25">
      <c r="A13" s="8"/>
      <c r="B13" s="14"/>
      <c r="C13" s="8"/>
    </row>
    <row r="14" spans="1:3" ht="30" x14ac:dyDescent="0.25">
      <c r="A14" s="8"/>
      <c r="B14" s="15" t="s">
        <v>27</v>
      </c>
      <c r="C14" s="8"/>
    </row>
    <row r="15" spans="1:3" x14ac:dyDescent="0.25">
      <c r="A15" s="8"/>
      <c r="B15" s="14"/>
      <c r="C15" s="8"/>
    </row>
    <row r="16" spans="1:3" ht="30" x14ac:dyDescent="0.25">
      <c r="A16" s="8"/>
      <c r="B16" s="15" t="s">
        <v>28</v>
      </c>
      <c r="C16" s="8"/>
    </row>
    <row r="17" spans="1:3" x14ac:dyDescent="0.25">
      <c r="A17" s="8"/>
      <c r="B17" s="14"/>
      <c r="C17" s="8"/>
    </row>
    <row r="18" spans="1:3" x14ac:dyDescent="0.25">
      <c r="A18" s="8"/>
      <c r="B18" s="15" t="s">
        <v>39</v>
      </c>
      <c r="C18" s="8"/>
    </row>
    <row r="19" spans="1:3" x14ac:dyDescent="0.25">
      <c r="A19" s="8"/>
      <c r="C19" s="8"/>
    </row>
    <row r="20" spans="1:3" ht="24" thickBot="1" x14ac:dyDescent="0.3">
      <c r="A20" s="8"/>
      <c r="B20" s="7" t="s">
        <v>29</v>
      </c>
      <c r="C20" s="8"/>
    </row>
    <row r="21" spans="1:3" ht="15.75" thickTop="1" x14ac:dyDescent="0.25">
      <c r="A21" s="8"/>
      <c r="B21" s="14"/>
      <c r="C21" s="8"/>
    </row>
    <row r="22" spans="1:3" ht="30" x14ac:dyDescent="0.25">
      <c r="A22" s="8"/>
      <c r="B22" s="15" t="s">
        <v>30</v>
      </c>
      <c r="C22" s="8"/>
    </row>
    <row r="23" spans="1:3" x14ac:dyDescent="0.25">
      <c r="A23" s="8"/>
      <c r="B23" s="14"/>
      <c r="C23" s="8"/>
    </row>
    <row r="24" spans="1:3" ht="30" x14ac:dyDescent="0.25">
      <c r="A24" s="8"/>
      <c r="B24" s="15" t="s">
        <v>40</v>
      </c>
      <c r="C24" s="8"/>
    </row>
    <row r="25" spans="1:3" x14ac:dyDescent="0.25">
      <c r="A25" s="8"/>
      <c r="B25" s="14"/>
      <c r="C25" s="8"/>
    </row>
    <row r="26" spans="1:3" ht="30" x14ac:dyDescent="0.25">
      <c r="A26" s="8"/>
      <c r="B26" s="15" t="s">
        <v>41</v>
      </c>
      <c r="C26" s="8"/>
    </row>
    <row r="27" spans="1:3" x14ac:dyDescent="0.25">
      <c r="A27" s="8"/>
      <c r="B27" s="14"/>
      <c r="C27" s="8"/>
    </row>
    <row r="28" spans="1:3" ht="45" x14ac:dyDescent="0.25">
      <c r="A28" s="8"/>
      <c r="B28" s="15" t="s">
        <v>42</v>
      </c>
      <c r="C28" s="8"/>
    </row>
    <row r="29" spans="1:3" x14ac:dyDescent="0.25">
      <c r="A29" s="8"/>
      <c r="B29" s="14"/>
      <c r="C29" s="8"/>
    </row>
    <row r="30" spans="1:3" ht="30" x14ac:dyDescent="0.25">
      <c r="A30" s="8"/>
      <c r="B30" s="15" t="s">
        <v>31</v>
      </c>
      <c r="C30" s="8"/>
    </row>
    <row r="31" spans="1:3" x14ac:dyDescent="0.25">
      <c r="A31" s="8"/>
      <c r="B31" s="14"/>
      <c r="C31" s="8"/>
    </row>
    <row r="32" spans="1:3" ht="45" x14ac:dyDescent="0.25">
      <c r="A32" s="8"/>
      <c r="B32" s="15" t="s">
        <v>32</v>
      </c>
      <c r="C32" s="8"/>
    </row>
    <row r="33" spans="1:3" x14ac:dyDescent="0.25">
      <c r="A33" s="8"/>
      <c r="B33" s="14"/>
      <c r="C33" s="8"/>
    </row>
    <row r="34" spans="1:3" ht="45" x14ac:dyDescent="0.25">
      <c r="A34" s="8"/>
      <c r="B34" s="15" t="s">
        <v>33</v>
      </c>
      <c r="C34" s="8"/>
    </row>
    <row r="35" spans="1:3" ht="10.5" customHeight="1" x14ac:dyDescent="0.25">
      <c r="A35" s="8"/>
      <c r="B35" s="10"/>
      <c r="C3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3BB5-FA9D-4AD3-B101-5C01CD6104B5}">
  <dimension ref="A2:M18"/>
  <sheetViews>
    <sheetView zoomScale="123" workbookViewId="0"/>
  </sheetViews>
  <sheetFormatPr baseColWidth="10" defaultRowHeight="15" x14ac:dyDescent="0.25"/>
  <cols>
    <col min="1" max="1" width="9.5703125" bestFit="1" customWidth="1"/>
    <col min="2" max="2" width="5.7109375" style="1" customWidth="1"/>
    <col min="3" max="5" width="8.140625" customWidth="1"/>
    <col min="6" max="6" width="5.5703125" customWidth="1"/>
    <col min="7" max="7" width="26.28515625" style="6" customWidth="1"/>
    <col min="10" max="10" width="11.42578125" style="1"/>
    <col min="11" max="11" width="23" customWidth="1"/>
    <col min="12" max="12" width="16.7109375" customWidth="1"/>
  </cols>
  <sheetData>
    <row r="2" spans="1:13" ht="18" thickBot="1" x14ac:dyDescent="0.35">
      <c r="C2" s="17" t="s">
        <v>0</v>
      </c>
      <c r="D2" s="17"/>
      <c r="E2" s="17"/>
    </row>
    <row r="3" spans="1:13" ht="15.75" thickTop="1" x14ac:dyDescent="0.25">
      <c r="C3" s="2" t="s">
        <v>4</v>
      </c>
      <c r="D3" s="2" t="s">
        <v>5</v>
      </c>
      <c r="E3" s="2" t="s">
        <v>1</v>
      </c>
    </row>
    <row r="4" spans="1:13" ht="18" thickBot="1" x14ac:dyDescent="0.35">
      <c r="A4" s="3" t="s">
        <v>6</v>
      </c>
      <c r="C4" s="2">
        <v>1</v>
      </c>
      <c r="D4" s="2">
        <v>3</v>
      </c>
      <c r="E4" s="2">
        <v>5</v>
      </c>
    </row>
    <row r="5" spans="1:13" ht="15.75" thickTop="1" x14ac:dyDescent="0.25">
      <c r="A5" s="4" t="s">
        <v>3</v>
      </c>
      <c r="B5" s="5">
        <v>1</v>
      </c>
      <c r="C5" s="1">
        <f>C4+$B$5</f>
        <v>2</v>
      </c>
      <c r="D5" s="1">
        <f t="shared" ref="D5:E5" si="0">D4+$B$5</f>
        <v>4</v>
      </c>
      <c r="E5" s="1">
        <f t="shared" si="0"/>
        <v>6</v>
      </c>
    </row>
    <row r="6" spans="1:13" x14ac:dyDescent="0.25">
      <c r="A6" s="4" t="s">
        <v>2</v>
      </c>
      <c r="B6" s="5">
        <v>3</v>
      </c>
      <c r="C6" s="1">
        <f>C4+$B$6</f>
        <v>4</v>
      </c>
      <c r="D6" s="1">
        <f t="shared" ref="D6:E6" si="1">D4+$B$6</f>
        <v>6</v>
      </c>
      <c r="E6" s="1">
        <f t="shared" si="1"/>
        <v>8</v>
      </c>
    </row>
    <row r="7" spans="1:13" x14ac:dyDescent="0.25">
      <c r="A7" s="4" t="s">
        <v>7</v>
      </c>
      <c r="B7" s="5">
        <v>5</v>
      </c>
      <c r="C7" s="1">
        <f>C4+$B$7</f>
        <v>6</v>
      </c>
      <c r="D7" s="1">
        <f t="shared" ref="D7" si="2">D4+$B$7</f>
        <v>8</v>
      </c>
      <c r="E7" s="1">
        <f>E4+$B$7</f>
        <v>10</v>
      </c>
    </row>
    <row r="8" spans="1:13" x14ac:dyDescent="0.25">
      <c r="G8" s="18" t="s">
        <v>8</v>
      </c>
      <c r="H8" s="19" t="s">
        <v>0</v>
      </c>
      <c r="I8" s="19" t="s">
        <v>6</v>
      </c>
      <c r="J8" s="20" t="s">
        <v>9</v>
      </c>
      <c r="K8" s="21" t="s">
        <v>38</v>
      </c>
      <c r="L8" s="21" t="s">
        <v>10</v>
      </c>
      <c r="M8" s="21" t="s">
        <v>11</v>
      </c>
    </row>
    <row r="9" spans="1:13" ht="60" x14ac:dyDescent="0.25">
      <c r="G9" s="22" t="s">
        <v>43</v>
      </c>
      <c r="H9" s="23" t="s">
        <v>1</v>
      </c>
      <c r="I9" s="23" t="s">
        <v>7</v>
      </c>
      <c r="J9" s="24">
        <f>INDEX($C$5:$E$7,MATCH(H9,$C$3:$E$3,0),MATCH(I9,$A$5:$A$7,0))</f>
        <v>10</v>
      </c>
      <c r="K9" s="22" t="s">
        <v>51</v>
      </c>
      <c r="L9" s="25" t="s">
        <v>61</v>
      </c>
      <c r="M9" s="23"/>
    </row>
    <row r="10" spans="1:13" ht="45" x14ac:dyDescent="0.25">
      <c r="G10" s="22" t="s">
        <v>53</v>
      </c>
      <c r="H10" s="23" t="s">
        <v>5</v>
      </c>
      <c r="I10" s="23" t="s">
        <v>7</v>
      </c>
      <c r="J10" s="24">
        <f>INDEX($C$5:$E$7,MATCH(H10,$C$3:$E$3,0),MATCH(I10,$A$5:$A$7,0))</f>
        <v>8</v>
      </c>
      <c r="K10" s="22" t="s">
        <v>52</v>
      </c>
      <c r="L10" s="25" t="s">
        <v>62</v>
      </c>
      <c r="M10" s="23"/>
    </row>
    <row r="11" spans="1:13" ht="45" x14ac:dyDescent="0.25">
      <c r="G11" s="22" t="s">
        <v>44</v>
      </c>
      <c r="H11" s="23" t="s">
        <v>1</v>
      </c>
      <c r="I11" s="23" t="s">
        <v>2</v>
      </c>
      <c r="J11" s="24">
        <f t="shared" ref="J11:J18" si="3">INDEX($C$5:$E$7,MATCH(H11,$C$3:$E$3,0),MATCH(I11,$A$5:$A$7,0))</f>
        <v>8</v>
      </c>
      <c r="K11" s="22" t="s">
        <v>54</v>
      </c>
      <c r="L11" s="25" t="s">
        <v>61</v>
      </c>
      <c r="M11" s="23"/>
    </row>
    <row r="12" spans="1:13" ht="45" x14ac:dyDescent="0.25">
      <c r="G12" s="22" t="s">
        <v>45</v>
      </c>
      <c r="H12" s="23" t="s">
        <v>5</v>
      </c>
      <c r="I12" s="23" t="s">
        <v>2</v>
      </c>
      <c r="J12" s="24">
        <f t="shared" si="3"/>
        <v>6</v>
      </c>
      <c r="K12" s="22" t="s">
        <v>67</v>
      </c>
      <c r="L12" s="25" t="s">
        <v>68</v>
      </c>
      <c r="M12" s="23"/>
    </row>
    <row r="13" spans="1:13" ht="60" x14ac:dyDescent="0.25">
      <c r="G13" s="22" t="s">
        <v>46</v>
      </c>
      <c r="H13" s="23" t="s">
        <v>5</v>
      </c>
      <c r="I13" s="23" t="s">
        <v>7</v>
      </c>
      <c r="J13" s="24">
        <f t="shared" si="3"/>
        <v>8</v>
      </c>
      <c r="K13" s="22" t="s">
        <v>55</v>
      </c>
      <c r="L13" s="25" t="s">
        <v>64</v>
      </c>
      <c r="M13" s="23"/>
    </row>
    <row r="14" spans="1:13" ht="30" x14ac:dyDescent="0.25">
      <c r="G14" s="22" t="s">
        <v>47</v>
      </c>
      <c r="H14" s="23" t="s">
        <v>4</v>
      </c>
      <c r="I14" s="23" t="s">
        <v>7</v>
      </c>
      <c r="J14" s="24">
        <f t="shared" si="3"/>
        <v>6</v>
      </c>
      <c r="K14" s="22" t="s">
        <v>56</v>
      </c>
      <c r="L14" s="25" t="s">
        <v>65</v>
      </c>
      <c r="M14" s="23"/>
    </row>
    <row r="15" spans="1:13" ht="45" x14ac:dyDescent="0.25">
      <c r="G15" s="22" t="s">
        <v>48</v>
      </c>
      <c r="H15" s="23" t="s">
        <v>4</v>
      </c>
      <c r="I15" s="23" t="s">
        <v>2</v>
      </c>
      <c r="J15" s="24">
        <f t="shared" si="3"/>
        <v>4</v>
      </c>
      <c r="K15" s="22" t="s">
        <v>57</v>
      </c>
      <c r="L15" s="25" t="s">
        <v>69</v>
      </c>
      <c r="M15" s="23"/>
    </row>
    <row r="16" spans="1:13" ht="60" x14ac:dyDescent="0.25">
      <c r="G16" s="22" t="s">
        <v>66</v>
      </c>
      <c r="H16" s="23" t="s">
        <v>5</v>
      </c>
      <c r="I16" s="23" t="s">
        <v>2</v>
      </c>
      <c r="J16" s="24">
        <f t="shared" si="3"/>
        <v>6</v>
      </c>
      <c r="K16" s="22" t="s">
        <v>58</v>
      </c>
      <c r="L16" s="25" t="s">
        <v>63</v>
      </c>
      <c r="M16" s="23"/>
    </row>
    <row r="17" spans="7:13" ht="45" x14ac:dyDescent="0.25">
      <c r="G17" s="22" t="s">
        <v>49</v>
      </c>
      <c r="H17" s="23" t="s">
        <v>1</v>
      </c>
      <c r="I17" s="23" t="s">
        <v>2</v>
      </c>
      <c r="J17" s="24">
        <f t="shared" si="3"/>
        <v>8</v>
      </c>
      <c r="K17" s="22" t="s">
        <v>59</v>
      </c>
      <c r="L17" s="25" t="s">
        <v>61</v>
      </c>
      <c r="M17" s="23"/>
    </row>
    <row r="18" spans="7:13" ht="45" x14ac:dyDescent="0.25">
      <c r="G18" s="22" t="s">
        <v>50</v>
      </c>
      <c r="H18" s="23" t="s">
        <v>5</v>
      </c>
      <c r="I18" s="23" t="s">
        <v>2</v>
      </c>
      <c r="J18" s="24">
        <f t="shared" si="3"/>
        <v>6</v>
      </c>
      <c r="K18" s="22" t="s">
        <v>60</v>
      </c>
      <c r="L18" s="25" t="s">
        <v>61</v>
      </c>
      <c r="M18" s="23"/>
    </row>
  </sheetData>
  <autoFilter ref="G8:M8" xr:uid="{3FF23BB5-FA9D-4AD3-B101-5C01CD6104B5}"/>
  <mergeCells count="1">
    <mergeCell ref="C2:E2"/>
  </mergeCells>
  <conditionalFormatting sqref="C5:E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J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J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D827B13-DFEB-4034-B996-18F6FB8F2B65}">
          <x14:formula1>
            <xm:f>escalas!$B$2:$B$5</xm:f>
          </x14:formula1>
          <xm:sqref>I9:I18</xm:sqref>
        </x14:dataValidation>
        <x14:dataValidation type="list" allowBlank="1" showInputMessage="1" showErrorMessage="1" xr:uid="{500DA1C7-D402-4318-8EBF-7743FCD49514}">
          <x14:formula1>
            <xm:f>escalas!$A$2:$A$5</xm:f>
          </x14:formula1>
          <xm:sqref>H7 H9:H18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de presentación </vt:lpstr>
      <vt:lpstr>escalas</vt:lpstr>
      <vt:lpstr>Generalidades</vt:lpstr>
      <vt:lpstr>Instrucciones</vt:lpstr>
      <vt:lpstr>Riesgos de 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Cabrera Cabello</dc:creator>
  <cp:lastModifiedBy>ARANA SANCHEZ ABIRAM</cp:lastModifiedBy>
  <cp:lastPrinted>2024-10-01T20:40:58Z</cp:lastPrinted>
  <dcterms:created xsi:type="dcterms:W3CDTF">2024-09-29T08:21:59Z</dcterms:created>
  <dcterms:modified xsi:type="dcterms:W3CDTF">2025-10-19T21:13:57Z</dcterms:modified>
</cp:coreProperties>
</file>