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vmx-my.sharepoint.com/personal/zs22021355_estudiantes_uv_mx/Documents/09. Agosto 2025 - Enero 2025/Proyectos de inversión/"/>
    </mc:Choice>
  </mc:AlternateContent>
  <xr:revisionPtr revIDLastSave="1" documentId="8_{F02E1EB5-4096-4A00-8CC2-45D959949748}" xr6:coauthVersionLast="47" xr6:coauthVersionMax="47" xr10:uidLastSave="{08A00E7C-F69A-4A8B-9E9F-428B57394391}"/>
  <bookViews>
    <workbookView xWindow="-120" yWindow="-120" windowWidth="20730" windowHeight="11040" xr2:uid="{BAEDDEDD-4C65-4675-A157-396C2BDFE243}"/>
  </bookViews>
  <sheets>
    <sheet name="Hoja de presentación " sheetId="3" r:id="rId1"/>
    <sheet name="Proyección de la demand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3" i="1" l="1"/>
  <c r="C58" i="1"/>
  <c r="K53" i="1" s="1"/>
  <c r="F57" i="1"/>
  <c r="F56" i="1"/>
  <c r="F55" i="1"/>
  <c r="F54" i="1"/>
  <c r="F58" i="1" s="1"/>
  <c r="M41" i="1"/>
  <c r="F28" i="1"/>
  <c r="E23" i="1"/>
  <c r="C36" i="1" s="1"/>
  <c r="K52" i="1" l="1"/>
  <c r="L53" i="1"/>
  <c r="M52" i="1"/>
  <c r="E36" i="1"/>
  <c r="F36" i="1" s="1"/>
  <c r="C37" i="1"/>
  <c r="H36" i="1" l="1"/>
  <c r="G36" i="1"/>
  <c r="D53" i="1" s="1"/>
  <c r="C38" i="1"/>
  <c r="E37" i="1"/>
  <c r="M36" i="1" l="1"/>
  <c r="F37" i="1"/>
  <c r="H37" i="1"/>
  <c r="C39" i="1"/>
  <c r="E38" i="1"/>
  <c r="E53" i="1" l="1"/>
  <c r="F38" i="1"/>
  <c r="H38" i="1"/>
  <c r="C40" i="1"/>
  <c r="E40" i="1" s="1"/>
  <c r="E39" i="1"/>
  <c r="G37" i="1"/>
  <c r="M37" i="1" l="1"/>
  <c r="D54" i="1"/>
  <c r="H39" i="1"/>
  <c r="F39" i="1"/>
  <c r="F40" i="1"/>
  <c r="H40" i="1"/>
  <c r="G38" i="1"/>
  <c r="M38" i="1" l="1"/>
  <c r="D55" i="1"/>
  <c r="E55" i="1" s="1"/>
  <c r="E54" i="1"/>
  <c r="G39" i="1"/>
  <c r="G40" i="1"/>
  <c r="M39" i="1" l="1"/>
  <c r="D56" i="1"/>
  <c r="M40" i="1"/>
  <c r="D57" i="1"/>
  <c r="E57" i="1" s="1"/>
  <c r="E56" i="1" l="1"/>
  <c r="E58" i="1" s="1"/>
  <c r="D58" i="1"/>
  <c r="N52" i="1" l="1"/>
  <c r="L52" i="1"/>
  <c r="K55" i="1" s="1"/>
</calcChain>
</file>

<file path=xl/sharedStrings.xml><?xml version="1.0" encoding="utf-8"?>
<sst xmlns="http://schemas.openxmlformats.org/spreadsheetml/2006/main" count="61" uniqueCount="58">
  <si>
    <t>Análisis y Proyección de la Demanda</t>
  </si>
  <si>
    <t>1) Supuestos principales</t>
  </si>
  <si>
    <r>
      <t xml:space="preserve">Base de datos: </t>
    </r>
    <r>
      <rPr>
        <b/>
        <sz val="11"/>
        <color theme="1"/>
        <rFont val="Aptos Narrow"/>
        <family val="2"/>
        <scheme val="minor"/>
      </rPr>
      <t>superficie sembrada = 8,810.37 ha</t>
    </r>
    <r>
      <rPr>
        <sz val="11"/>
        <color theme="1"/>
        <rFont val="Aptos Narrow"/>
        <family val="2"/>
        <scheme val="minor"/>
      </rPr>
      <t xml:space="preserve"> (Cuitláhuac, Ver.).</t>
    </r>
  </si>
  <si>
    <r>
      <t>Aplicaciones promedio por hectárea por año</t>
    </r>
    <r>
      <rPr>
        <sz val="11"/>
        <color theme="1"/>
        <rFont val="Aptos Narrow"/>
        <family val="2"/>
        <scheme val="minor"/>
      </rPr>
      <t xml:space="preserve"> (control plagas/fungicidas/fertilizantes foliares): </t>
    </r>
    <r>
      <rPr>
        <b/>
        <sz val="11"/>
        <color theme="1"/>
        <rFont val="Aptos Narrow"/>
        <family val="2"/>
        <scheme val="minor"/>
      </rPr>
      <t>4 aplicaciones/año</t>
    </r>
    <r>
      <rPr>
        <sz val="11"/>
        <color theme="1"/>
        <rFont val="Aptos Narrow"/>
        <family val="2"/>
        <scheme val="minor"/>
      </rPr>
      <t xml:space="preserve"> (escenario base).</t>
    </r>
  </si>
  <si>
    <r>
      <t>Rendimiento operativo de un dron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15 ha/día</t>
    </r>
    <r>
      <rPr>
        <sz val="11"/>
        <color theme="1"/>
        <rFont val="Aptos Narrow"/>
        <family val="2"/>
        <scheme val="minor"/>
      </rPr>
      <t xml:space="preserve"> efectivamente aplicadas.</t>
    </r>
  </si>
  <si>
    <r>
      <t>Días operables por dron por año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200 días</t>
    </r>
    <r>
      <rPr>
        <sz val="11"/>
        <color theme="1"/>
        <rFont val="Aptos Narrow"/>
        <family val="2"/>
        <scheme val="minor"/>
      </rPr>
      <t xml:space="preserve"> (estacionalidad + clima + mantenimiento).</t>
    </r>
  </si>
  <si>
    <r>
      <t xml:space="preserve">Capacidad anual por dron (en </t>
    </r>
    <r>
      <rPr>
        <i/>
        <sz val="11"/>
        <color theme="1"/>
        <rFont val="Aptos Narrow"/>
        <family val="2"/>
        <scheme val="minor"/>
      </rPr>
      <t>ha-aplicación</t>
    </r>
    <r>
      <rPr>
        <sz val="11"/>
        <color theme="1"/>
        <rFont val="Aptos Narrow"/>
        <family val="2"/>
        <scheme val="minor"/>
      </rPr>
      <t xml:space="preserve">) = 15 × 200 = </t>
    </r>
    <r>
      <rPr>
        <b/>
        <sz val="11"/>
        <color theme="1"/>
        <rFont val="Aptos Narrow"/>
        <family val="2"/>
        <scheme val="minor"/>
      </rPr>
      <t>3,000 ha-aplicación/año</t>
    </r>
    <r>
      <rPr>
        <sz val="11"/>
        <color theme="1"/>
        <rFont val="Aptos Narrow"/>
        <family val="2"/>
        <scheme val="minor"/>
      </rPr>
      <t>.</t>
    </r>
  </si>
  <si>
    <r>
      <t xml:space="preserve">Periodo de proyección: </t>
    </r>
    <r>
      <rPr>
        <b/>
        <sz val="11"/>
        <color theme="1"/>
        <rFont val="Aptos Narrow"/>
        <family val="2"/>
        <scheme val="minor"/>
      </rPr>
      <t>5 años</t>
    </r>
    <r>
      <rPr>
        <sz val="11"/>
        <color theme="1"/>
        <rFont val="Aptos Narrow"/>
        <family val="2"/>
        <scheme val="minor"/>
      </rPr>
      <t>.</t>
    </r>
  </si>
  <si>
    <t>2) Cálculos</t>
  </si>
  <si>
    <t>Superficie sembrada</t>
  </si>
  <si>
    <t>Superficie targetable</t>
  </si>
  <si>
    <t>Capacidad anual por dron</t>
  </si>
  <si>
    <r>
      <t xml:space="preserve">15 ha/día × 200 días = </t>
    </r>
    <r>
      <rPr>
        <b/>
        <sz val="11"/>
        <color theme="1"/>
        <rFont val="Aptos Narrow"/>
        <family val="2"/>
        <scheme val="minor"/>
      </rPr>
      <t>3,000 ha-aplicación / año / dron</t>
    </r>
  </si>
  <si>
    <t>200 días habiles posibles</t>
  </si>
  <si>
    <t>a)</t>
  </si>
  <si>
    <t>b)</t>
  </si>
  <si>
    <t>3) Resultados resumidos</t>
  </si>
  <si>
    <t>Año</t>
  </si>
  <si>
    <t>Porcentaje</t>
  </si>
  <si>
    <t>Escenario CONSERVADOR</t>
  </si>
  <si>
    <t>Ha atendidas</t>
  </si>
  <si>
    <t>Ha targetable</t>
  </si>
  <si>
    <t>Drones necesarios</t>
  </si>
  <si>
    <r>
      <rPr>
        <b/>
        <sz val="11"/>
        <color theme="1"/>
        <rFont val="Aptos Narrow"/>
        <family val="2"/>
        <scheme val="minor"/>
      </rPr>
      <t>Nota</t>
    </r>
    <r>
      <rPr>
        <sz val="11"/>
        <color theme="1"/>
        <rFont val="Aptos Narrow"/>
        <family val="2"/>
        <scheme val="minor"/>
      </rPr>
      <t xml:space="preserve">: “Drones necesarios” se expresa en unidades equivalentes; para operar profesionalmente conviene tener </t>
    </r>
    <r>
      <rPr>
        <b/>
        <sz val="11"/>
        <color theme="1"/>
        <rFont val="Aptos Narrow"/>
        <family val="2"/>
        <scheme val="minor"/>
      </rPr>
      <t>más drones</t>
    </r>
    <r>
      <rPr>
        <sz val="11"/>
        <color theme="1"/>
        <rFont val="Aptos Narrow"/>
        <family val="2"/>
        <scheme val="minor"/>
      </rPr>
      <t xml:space="preserve"> que la capacidad mínima indicada (redundancia, mantenimiento, picos de demanda) y asignar equipos por turnos y por distancia entre parcelas.</t>
    </r>
  </si>
  <si>
    <t>Universidad Veracruzana</t>
  </si>
  <si>
    <t>Facultad de Negocios y Tecnologías</t>
  </si>
  <si>
    <t>Campus Ixtaczoquitlan</t>
  </si>
  <si>
    <t>Grado y grupo</t>
  </si>
  <si>
    <t>702C  Contaduría</t>
  </si>
  <si>
    <t>Experiencia Educativa:</t>
  </si>
  <si>
    <t>Docente</t>
  </si>
  <si>
    <t>Fecha</t>
  </si>
  <si>
    <t>PROYECCIÓN Y CALCULO DE LA DEMANDA</t>
  </si>
  <si>
    <t>DronVer Solution</t>
  </si>
  <si>
    <t>Arana Sanchez Abiram</t>
  </si>
  <si>
    <t>Polanco Alvarado Kaled Azael</t>
  </si>
  <si>
    <t>Razo Illescas Fátima Nicol</t>
  </si>
  <si>
    <t>Noriega Apango Jocelyn</t>
  </si>
  <si>
    <t>Equipo:</t>
  </si>
  <si>
    <t>Proyectos de Inversión</t>
  </si>
  <si>
    <t>Cabrera Cabello Eva</t>
  </si>
  <si>
    <t>No. De servicios</t>
  </si>
  <si>
    <t>Demanda servicios al año</t>
  </si>
  <si>
    <r>
      <t>% de la superficie sembrada potencialmente atendible por drones</t>
    </r>
    <r>
      <rPr>
        <sz val="11"/>
        <color theme="1"/>
        <rFont val="Aptos Narrow"/>
        <family val="2"/>
        <scheme val="minor"/>
      </rPr>
      <t xml:space="preserve"> (razones: acceso, tamaño de parcelas, cultivos, topografía): 9</t>
    </r>
    <r>
      <rPr>
        <b/>
        <sz val="11"/>
        <color theme="1"/>
        <rFont val="Aptos Narrow"/>
        <family val="2"/>
        <scheme val="minor"/>
      </rPr>
      <t>0%</t>
    </r>
    <r>
      <rPr>
        <sz val="11"/>
        <color theme="1"/>
        <rFont val="Aptos Narrow"/>
        <family val="2"/>
        <scheme val="minor"/>
      </rPr>
      <t xml:space="preserve"> → terreno “targetable”.</t>
    </r>
  </si>
  <si>
    <r>
      <rPr>
        <b/>
        <sz val="11"/>
        <color theme="1"/>
        <rFont val="Aptos Narrow"/>
        <family val="2"/>
        <scheme val="minor"/>
      </rPr>
      <t xml:space="preserve">Superficie targetable </t>
    </r>
    <r>
      <rPr>
        <sz val="11"/>
        <color theme="1"/>
        <rFont val="Aptos Narrow"/>
        <family val="2"/>
        <scheme val="minor"/>
      </rPr>
      <t>= 90% × superficie sembrada</t>
    </r>
  </si>
  <si>
    <r>
      <t>Aplicaciones promedio por hectárea por año</t>
    </r>
    <r>
      <rPr>
        <sz val="11"/>
        <color theme="1"/>
        <rFont val="Aptos Narrow"/>
        <family val="2"/>
        <scheme val="minor"/>
      </rPr>
      <t xml:space="preserve"> (control plagas/fungicidas/fertilizantes foliares): 4</t>
    </r>
    <r>
      <rPr>
        <b/>
        <sz val="11"/>
        <color theme="1"/>
        <rFont val="Aptos Narrow"/>
        <family val="2"/>
        <scheme val="minor"/>
      </rPr>
      <t xml:space="preserve"> aplicaciones/año</t>
    </r>
    <r>
      <rPr>
        <sz val="11"/>
        <color theme="1"/>
        <rFont val="Aptos Narrow"/>
        <family val="2"/>
        <scheme val="minor"/>
      </rPr>
      <t xml:space="preserve"> (escenario base).</t>
    </r>
  </si>
  <si>
    <t>30 hectáreas por día</t>
  </si>
  <si>
    <t>a=</t>
  </si>
  <si>
    <t xml:space="preserve">Componente fijo </t>
  </si>
  <si>
    <t xml:space="preserve">Calcular la sumatoria de </t>
  </si>
  <si>
    <t>X</t>
  </si>
  <si>
    <t>Y</t>
  </si>
  <si>
    <t>XY</t>
  </si>
  <si>
    <t>X2</t>
  </si>
  <si>
    <t>No. Servicio</t>
  </si>
  <si>
    <t>Tasas de adopción del servicio (porcentaje del área targetable atendida)</t>
  </si>
  <si>
    <t>Conservador: 5%, 10%, 13%, 18%, 22% (años 1–5)</t>
  </si>
  <si>
    <t>18 de octubre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</si>
</sst>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"/>
      <family val="2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9" fontId="0" fillId="0" borderId="0" xfId="0" applyNumberFormat="1"/>
    <xf numFmtId="0" fontId="0" fillId="2" borderId="0" xfId="0" applyFill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0" borderId="0" xfId="0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center"/>
    </xf>
    <xf numFmtId="0" fontId="0" fillId="0" borderId="0" xfId="0" applyFill="1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Fill="1" applyBorder="1"/>
    <xf numFmtId="43" fontId="0" fillId="0" borderId="1" xfId="1" applyFont="1" applyBorder="1"/>
    <xf numFmtId="0" fontId="8" fillId="0" borderId="0" xfId="0" applyFont="1"/>
    <xf numFmtId="43" fontId="0" fillId="0" borderId="0" xfId="1" applyFont="1"/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'Proyección de la demanda'!$M$35</c:f>
              <c:strCache>
                <c:ptCount val="1"/>
                <c:pt idx="0">
                  <c:v>Demanda servicios al año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  <a:headEnd w="med" len="sm"/>
                <a:tailEnd w="lg" len="med"/>
              </a:ln>
              <a:effectLst>
                <a:outerShdw blurRad="50800" dist="50800" dir="6600000" sx="112000" sy="112000" algn="ctr" rotWithShape="0">
                  <a:schemeClr val="bg1"/>
                </a:outerShdw>
              </a:effectLst>
            </c:spPr>
            <c:trendlineType val="linear"/>
            <c:dispRSqr val="0"/>
            <c:dispEq val="1"/>
            <c:trendlineLbl>
              <c:layout>
                <c:manualLayout>
                  <c:x val="-0.11031452318460193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'Proyección de la demanda'!$L$36:$L$40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'Proyección de la demanda'!$M$36:$M$40</c:f>
              <c:numCache>
                <c:formatCode>General</c:formatCode>
                <c:ptCount val="5"/>
                <c:pt idx="0">
                  <c:v>64</c:v>
                </c:pt>
                <c:pt idx="1">
                  <c:v>128</c:v>
                </c:pt>
                <c:pt idx="2">
                  <c:v>168</c:v>
                </c:pt>
                <c:pt idx="3">
                  <c:v>232</c:v>
                </c:pt>
                <c:pt idx="4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4-4714-9C72-DE610592F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5439"/>
        <c:axId val="8570031"/>
      </c:scatterChart>
      <c:valAx>
        <c:axId val="857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0031"/>
        <c:crosses val="autoZero"/>
        <c:crossBetween val="midCat"/>
      </c:valAx>
      <c:valAx>
        <c:axId val="857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No. de servicios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7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500548</xdr:colOff>
      <xdr:row>1</xdr:row>
      <xdr:rowOff>87898</xdr:rowOff>
    </xdr:from>
    <xdr:to>
      <xdr:col>5</xdr:col>
      <xdr:colOff>514349</xdr:colOff>
      <xdr:row>7</xdr:row>
      <xdr:rowOff>123826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30F9BF-D281-4E67-B012-E1DDE45BA1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820"/>
        <a:stretch>
          <a:fillRect/>
        </a:stretch>
      </xdr:blipFill>
      <xdr:spPr bwMode="auto">
        <a:xfrm>
          <a:off x="1157773" y="278398"/>
          <a:ext cx="1537801" cy="1178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21</xdr:row>
      <xdr:rowOff>152400</xdr:rowOff>
    </xdr:from>
    <xdr:to>
      <xdr:col>3</xdr:col>
      <xdr:colOff>485775</xdr:colOff>
      <xdr:row>23</xdr:row>
      <xdr:rowOff>38100</xdr:rowOff>
    </xdr:to>
    <xdr:sp macro="" textlink="">
      <xdr:nvSpPr>
        <xdr:cNvPr id="2" name="Es igual a 1">
          <a:extLst>
            <a:ext uri="{FF2B5EF4-FFF2-40B4-BE49-F238E27FC236}">
              <a16:creationId xmlns:a16="http://schemas.microsoft.com/office/drawing/2014/main" id="{62A71B81-F412-CDE6-2BE2-238D7D14DBE6}"/>
            </a:ext>
          </a:extLst>
        </xdr:cNvPr>
        <xdr:cNvSpPr/>
      </xdr:nvSpPr>
      <xdr:spPr>
        <a:xfrm>
          <a:off x="2828925" y="7534275"/>
          <a:ext cx="333375" cy="266700"/>
        </a:xfrm>
        <a:prstGeom prst="mathEqual">
          <a:avLst>
            <a:gd name="adj1" fmla="val 11520"/>
            <a:gd name="adj2" fmla="val 117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85725</xdr:colOff>
      <xdr:row>22</xdr:row>
      <xdr:rowOff>9525</xdr:rowOff>
    </xdr:from>
    <xdr:to>
      <xdr:col>2</xdr:col>
      <xdr:colOff>361950</xdr:colOff>
      <xdr:row>23</xdr:row>
      <xdr:rowOff>19050</xdr:rowOff>
    </xdr:to>
    <xdr:sp macro="" textlink="">
      <xdr:nvSpPr>
        <xdr:cNvPr id="3" name="Signo de multiplicación 2">
          <a:extLst>
            <a:ext uri="{FF2B5EF4-FFF2-40B4-BE49-F238E27FC236}">
              <a16:creationId xmlns:a16="http://schemas.microsoft.com/office/drawing/2014/main" id="{306223A5-6008-E9DE-DB8B-B27E74D37CD5}"/>
            </a:ext>
          </a:extLst>
        </xdr:cNvPr>
        <xdr:cNvSpPr/>
      </xdr:nvSpPr>
      <xdr:spPr>
        <a:xfrm>
          <a:off x="2000250" y="7581900"/>
          <a:ext cx="276225" cy="200025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628650</xdr:colOff>
      <xdr:row>27</xdr:row>
      <xdr:rowOff>38100</xdr:rowOff>
    </xdr:from>
    <xdr:to>
      <xdr:col>4</xdr:col>
      <xdr:colOff>142875</xdr:colOff>
      <xdr:row>28</xdr:row>
      <xdr:rowOff>47625</xdr:rowOff>
    </xdr:to>
    <xdr:sp macro="" textlink="">
      <xdr:nvSpPr>
        <xdr:cNvPr id="4" name="Signo de multiplicación 3">
          <a:extLst>
            <a:ext uri="{FF2B5EF4-FFF2-40B4-BE49-F238E27FC236}">
              <a16:creationId xmlns:a16="http://schemas.microsoft.com/office/drawing/2014/main" id="{1250D316-0671-44F1-921A-89DA8F08852A}"/>
            </a:ext>
          </a:extLst>
        </xdr:cNvPr>
        <xdr:cNvSpPr/>
      </xdr:nvSpPr>
      <xdr:spPr>
        <a:xfrm>
          <a:off x="3305175" y="8562975"/>
          <a:ext cx="276225" cy="200025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676275</xdr:colOff>
      <xdr:row>26</xdr:row>
      <xdr:rowOff>152400</xdr:rowOff>
    </xdr:from>
    <xdr:to>
      <xdr:col>5</xdr:col>
      <xdr:colOff>247650</xdr:colOff>
      <xdr:row>28</xdr:row>
      <xdr:rowOff>38100</xdr:rowOff>
    </xdr:to>
    <xdr:sp macro="" textlink="">
      <xdr:nvSpPr>
        <xdr:cNvPr id="5" name="Es igual a 4">
          <a:extLst>
            <a:ext uri="{FF2B5EF4-FFF2-40B4-BE49-F238E27FC236}">
              <a16:creationId xmlns:a16="http://schemas.microsoft.com/office/drawing/2014/main" id="{860B8CD3-8A1E-4192-92CF-E36A559B1A00}"/>
            </a:ext>
          </a:extLst>
        </xdr:cNvPr>
        <xdr:cNvSpPr/>
      </xdr:nvSpPr>
      <xdr:spPr>
        <a:xfrm>
          <a:off x="4114800" y="8486775"/>
          <a:ext cx="333375" cy="266700"/>
        </a:xfrm>
        <a:prstGeom prst="mathEqual">
          <a:avLst>
            <a:gd name="adj1" fmla="val 11520"/>
            <a:gd name="adj2" fmla="val 117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262955</xdr:colOff>
      <xdr:row>33</xdr:row>
      <xdr:rowOff>40907</xdr:rowOff>
    </xdr:from>
    <xdr:to>
      <xdr:col>13</xdr:col>
      <xdr:colOff>615063</xdr:colOff>
      <xdr:row>43</xdr:row>
      <xdr:rowOff>107830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953D2D-E85E-42DE-A8BF-F463B95E1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15957</xdr:colOff>
      <xdr:row>51</xdr:row>
      <xdr:rowOff>9772</xdr:rowOff>
    </xdr:from>
    <xdr:ext cx="1585178" cy="3676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605DCD85-7FBF-487D-A187-0E1E4042F26A}"/>
                </a:ext>
              </a:extLst>
            </xdr:cNvPr>
            <xdr:cNvSpPr txBox="1"/>
          </xdr:nvSpPr>
          <xdr:spPr>
            <a:xfrm>
              <a:off x="3673557" y="1152772"/>
              <a:ext cx="1585178" cy="3676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)−(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)(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nary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</m:nary>
                          </m:e>
                        </m:nary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)−(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p>
                                  <m:sSup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)</m:t>
                                    </m:r>
                                  </m:e>
                                  <m:sup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</m:e>
                        </m:nary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605DCD85-7FBF-487D-A187-0E1E4042F26A}"/>
                </a:ext>
              </a:extLst>
            </xdr:cNvPr>
            <xdr:cNvSpPr txBox="1"/>
          </xdr:nvSpPr>
          <xdr:spPr>
            <a:xfrm>
              <a:off x="3673557" y="1152772"/>
              <a:ext cx="1585178" cy="3676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𝑏=(𝑛(∑▒〖𝑥𝑦)−(∑▒〖𝑥)(∑▒𝑦)〗〗)/(𝑛(∑▒〖𝑥^2)−(∑▒〖𝑥)〗^2 〗)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7544-6F63-434C-B7FD-1F48B78C5826}">
  <dimension ref="A3:AB41"/>
  <sheetViews>
    <sheetView tabSelected="1" workbookViewId="0">
      <selection activeCell="D32" sqref="D32:N32"/>
    </sheetView>
  </sheetViews>
  <sheetFormatPr baseColWidth="10" defaultRowHeight="14.25"/>
  <cols>
    <col min="1" max="1" width="3" style="15" customWidth="1"/>
    <col min="2" max="2" width="3.375" style="16" customWidth="1"/>
    <col min="3" max="3" width="3.375" customWidth="1"/>
    <col min="15" max="15" width="4.375" customWidth="1"/>
    <col min="16" max="16" width="3.25" style="13" customWidth="1"/>
    <col min="17" max="17" width="3.125" style="15" customWidth="1"/>
  </cols>
  <sheetData>
    <row r="3" spans="1:28" ht="15">
      <c r="D3" s="20" t="s">
        <v>24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28"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28">
      <c r="D5" s="21" t="s">
        <v>25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28"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28">
      <c r="D7" s="21" t="s">
        <v>26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28"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28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28"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28" ht="18">
      <c r="D11" s="23" t="s">
        <v>32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28" ht="15"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28" ht="31.5" customHeight="1">
      <c r="D13" s="25" t="s">
        <v>33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28"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28">
      <c r="D15" s="21" t="s">
        <v>38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1:28" s="13" customFormat="1" ht="15">
      <c r="A16" s="15"/>
      <c r="B16" s="16"/>
      <c r="C16"/>
      <c r="D16" s="22" t="s">
        <v>34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18"/>
      <c r="Q16" s="15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s="13" customFormat="1" ht="15">
      <c r="A17" s="15"/>
      <c r="B17" s="16"/>
      <c r="C17"/>
      <c r="D17" s="20" t="s">
        <v>37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Q17" s="15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s="13" customFormat="1" ht="15">
      <c r="A18" s="15"/>
      <c r="B18" s="16"/>
      <c r="C18"/>
      <c r="D18" s="20" t="s">
        <v>35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17"/>
      <c r="Q18" s="15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s="13" customFormat="1" ht="15">
      <c r="A19" s="15"/>
      <c r="B19" s="16"/>
      <c r="C19"/>
      <c r="D19" s="20" t="s">
        <v>36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7"/>
      <c r="Q19" s="15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s="13" customFormat="1" ht="15">
      <c r="A20" s="15"/>
      <c r="B20" s="16"/>
      <c r="C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7"/>
      <c r="Q20" s="15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s="13" customFormat="1">
      <c r="A21" s="15"/>
      <c r="B21" s="16"/>
      <c r="C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Q21" s="15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s="13" customFormat="1">
      <c r="A22" s="15"/>
      <c r="B22" s="16"/>
      <c r="C22"/>
      <c r="D22" s="21" t="s">
        <v>27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Q22" s="15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s="13" customFormat="1" ht="15">
      <c r="A23" s="15"/>
      <c r="B23" s="16"/>
      <c r="C23"/>
      <c r="D23" s="20" t="s">
        <v>28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Q23" s="15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s="13" customFormat="1">
      <c r="A24" s="15"/>
      <c r="B24" s="16"/>
      <c r="C24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Q24" s="15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 s="13" customFormat="1">
      <c r="A25" s="15"/>
      <c r="B25" s="16"/>
      <c r="C25"/>
      <c r="D25" s="21" t="s">
        <v>29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Q25" s="15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s="13" customFormat="1" ht="15">
      <c r="A26" s="15"/>
      <c r="B26" s="16"/>
      <c r="C26"/>
      <c r="D26" s="20" t="s">
        <v>39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"/>
      <c r="Q26" s="15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s="13" customFormat="1">
      <c r="A27" s="15"/>
      <c r="B27" s="16"/>
      <c r="C2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"/>
      <c r="Q27" s="15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s="13" customFormat="1">
      <c r="A28" s="15"/>
      <c r="B28" s="16"/>
      <c r="C28"/>
      <c r="D28" s="21" t="s">
        <v>30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"/>
      <c r="Q28" s="15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s="13" customFormat="1" ht="15">
      <c r="A29" s="15"/>
      <c r="B29" s="16"/>
      <c r="C29"/>
      <c r="D29" s="20" t="s">
        <v>40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"/>
      <c r="Q29" s="15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s="13" customFormat="1">
      <c r="A30" s="15"/>
      <c r="B30" s="16"/>
      <c r="C3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"/>
      <c r="Q30" s="15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s="13" customFormat="1">
      <c r="A31" s="15"/>
      <c r="B31" s="16"/>
      <c r="C31"/>
      <c r="D31" s="21" t="s">
        <v>31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1"/>
      <c r="Q31" s="15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s="13" customFormat="1" ht="15">
      <c r="A32" s="15"/>
      <c r="B32" s="16"/>
      <c r="C32"/>
      <c r="D32" s="20" t="s">
        <v>57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"/>
      <c r="Q32" s="15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s="13" customFormat="1">
      <c r="A33" s="15"/>
      <c r="B33" s="16"/>
      <c r="C3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"/>
      <c r="Q33" s="15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s="13" customFormat="1">
      <c r="A34" s="15"/>
      <c r="B34" s="16"/>
      <c r="C34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/>
      <c r="Q34" s="15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s="13" customFormat="1">
      <c r="A35" s="15"/>
      <c r="B35" s="16"/>
      <c r="C35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/>
      <c r="Q35" s="15"/>
    </row>
    <row r="36" spans="1:28" s="13" customFormat="1">
      <c r="A36" s="15"/>
      <c r="B36" s="16"/>
      <c r="C36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/>
      <c r="Q36" s="15"/>
    </row>
    <row r="37" spans="1:28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28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28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28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28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</sheetData>
  <mergeCells count="39">
    <mergeCell ref="D14:O14"/>
    <mergeCell ref="D3:O3"/>
    <mergeCell ref="D4:O4"/>
    <mergeCell ref="D5:O5"/>
    <mergeCell ref="D6:O6"/>
    <mergeCell ref="D7:O7"/>
    <mergeCell ref="D8:O8"/>
    <mergeCell ref="D9:O9"/>
    <mergeCell ref="D10:O10"/>
    <mergeCell ref="D11:O11"/>
    <mergeCell ref="D12:O12"/>
    <mergeCell ref="D13:O13"/>
    <mergeCell ref="D15:O15"/>
    <mergeCell ref="D17:O17"/>
    <mergeCell ref="D21:O21"/>
    <mergeCell ref="D22:O22"/>
    <mergeCell ref="D23:O23"/>
    <mergeCell ref="D16:N16"/>
    <mergeCell ref="D33:N33"/>
    <mergeCell ref="D34:N34"/>
    <mergeCell ref="D35:N35"/>
    <mergeCell ref="D36:N36"/>
    <mergeCell ref="D25:O25"/>
    <mergeCell ref="D26:N26"/>
    <mergeCell ref="D27:N27"/>
    <mergeCell ref="D28:N28"/>
    <mergeCell ref="D29:N29"/>
    <mergeCell ref="D30:N30"/>
    <mergeCell ref="D18:N18"/>
    <mergeCell ref="D19:N19"/>
    <mergeCell ref="D20:N20"/>
    <mergeCell ref="D31:N31"/>
    <mergeCell ref="D32:N32"/>
    <mergeCell ref="D24:O24"/>
    <mergeCell ref="D37:N37"/>
    <mergeCell ref="D38:N38"/>
    <mergeCell ref="D39:N39"/>
    <mergeCell ref="D40:N40"/>
    <mergeCell ref="D41:N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FB07-FDF6-4A54-9FB8-FAA21F703F15}">
  <dimension ref="A2:N59"/>
  <sheetViews>
    <sheetView zoomScale="102" workbookViewId="0">
      <selection activeCell="E43" sqref="E43"/>
    </sheetView>
  </sheetViews>
  <sheetFormatPr baseColWidth="10" defaultRowHeight="14.25"/>
  <cols>
    <col min="2" max="2" width="7.5" customWidth="1"/>
  </cols>
  <sheetData>
    <row r="2" spans="1:9" ht="23.25">
      <c r="E2" s="2" t="s">
        <v>0</v>
      </c>
    </row>
    <row r="3" spans="1:9" ht="13.5" customHeight="1">
      <c r="E3" s="2"/>
    </row>
    <row r="4" spans="1:9" s="4" customFormat="1" ht="15">
      <c r="B4" s="6" t="s">
        <v>1</v>
      </c>
    </row>
    <row r="6" spans="1:9" ht="15">
      <c r="A6" s="33">
        <v>1</v>
      </c>
      <c r="B6" t="s">
        <v>2</v>
      </c>
    </row>
    <row r="7" spans="1:9" ht="15" customHeight="1">
      <c r="A7" s="34">
        <v>2</v>
      </c>
      <c r="B7" s="32" t="s">
        <v>43</v>
      </c>
      <c r="C7" s="32"/>
      <c r="D7" s="32"/>
      <c r="E7" s="32"/>
      <c r="F7" s="32"/>
      <c r="G7" s="32"/>
      <c r="H7" s="32"/>
      <c r="I7" s="32"/>
    </row>
    <row r="8" spans="1:9" s="14" customFormat="1" ht="15" customHeight="1">
      <c r="A8" s="34"/>
      <c r="B8" s="32"/>
      <c r="C8" s="32"/>
      <c r="D8" s="32"/>
      <c r="E8" s="32"/>
      <c r="F8" s="32"/>
      <c r="G8" s="32"/>
      <c r="H8" s="32"/>
      <c r="I8" s="32"/>
    </row>
    <row r="9" spans="1:9" ht="15" customHeight="1">
      <c r="A9" s="34">
        <v>3</v>
      </c>
      <c r="B9" s="32" t="s">
        <v>3</v>
      </c>
      <c r="C9" s="32"/>
      <c r="D9" s="32"/>
      <c r="E9" s="32"/>
      <c r="F9" s="32"/>
      <c r="G9" s="32"/>
      <c r="H9" s="32"/>
      <c r="I9" s="32"/>
    </row>
    <row r="10" spans="1:9" s="14" customFormat="1" ht="15" customHeight="1">
      <c r="A10" s="34"/>
      <c r="B10" s="32"/>
      <c r="C10" s="32"/>
      <c r="D10" s="32"/>
      <c r="E10" s="32"/>
      <c r="F10" s="32"/>
      <c r="G10" s="32"/>
      <c r="H10" s="32"/>
      <c r="I10" s="32"/>
    </row>
    <row r="11" spans="1:9" ht="15">
      <c r="A11" s="33">
        <v>4</v>
      </c>
      <c r="B11" s="5" t="s">
        <v>4</v>
      </c>
    </row>
    <row r="12" spans="1:9" ht="15">
      <c r="A12" s="33">
        <v>5</v>
      </c>
      <c r="B12" s="5" t="s">
        <v>5</v>
      </c>
    </row>
    <row r="13" spans="1:9" ht="15">
      <c r="A13" s="33">
        <v>6</v>
      </c>
      <c r="B13" t="s">
        <v>6</v>
      </c>
    </row>
    <row r="14" spans="1:9" ht="15">
      <c r="A14" s="33">
        <v>7</v>
      </c>
      <c r="B14" t="s">
        <v>7</v>
      </c>
    </row>
    <row r="15" spans="1:9" ht="15">
      <c r="A15" s="33">
        <v>8</v>
      </c>
      <c r="B15" t="s">
        <v>55</v>
      </c>
    </row>
    <row r="16" spans="1:9">
      <c r="C16" t="s">
        <v>56</v>
      </c>
    </row>
    <row r="18" spans="1:6" s="4" customFormat="1" ht="15">
      <c r="B18" s="6" t="s">
        <v>8</v>
      </c>
    </row>
    <row r="20" spans="1:6" ht="15">
      <c r="A20" s="1" t="s">
        <v>14</v>
      </c>
      <c r="B20" t="s">
        <v>44</v>
      </c>
    </row>
    <row r="21" spans="1:6">
      <c r="A21" s="1"/>
    </row>
    <row r="22" spans="1:6" ht="15">
      <c r="A22" s="1"/>
      <c r="B22" t="s">
        <v>9</v>
      </c>
      <c r="C22" s="3">
        <v>0.9</v>
      </c>
      <c r="E22" s="29" t="s">
        <v>10</v>
      </c>
    </row>
    <row r="23" spans="1:6">
      <c r="A23" s="1"/>
      <c r="B23" s="7">
        <v>8810.3700000000008</v>
      </c>
      <c r="C23">
        <v>0.9</v>
      </c>
      <c r="E23">
        <f>B23*C23</f>
        <v>7929.3330000000005</v>
      </c>
    </row>
    <row r="24" spans="1:6">
      <c r="A24" s="1"/>
    </row>
    <row r="25" spans="1:6" ht="15">
      <c r="A25" s="1" t="s">
        <v>15</v>
      </c>
      <c r="B25" s="5" t="s">
        <v>11</v>
      </c>
    </row>
    <row r="26" spans="1:6" ht="15">
      <c r="B26" t="s">
        <v>12</v>
      </c>
    </row>
    <row r="28" spans="1:6">
      <c r="B28" t="s">
        <v>46</v>
      </c>
      <c r="D28" s="1">
        <v>30</v>
      </c>
      <c r="E28" s="1">
        <v>200</v>
      </c>
      <c r="F28" s="8">
        <f>D28*E28</f>
        <v>6000</v>
      </c>
    </row>
    <row r="29" spans="1:6">
      <c r="B29" t="s">
        <v>13</v>
      </c>
    </row>
    <row r="31" spans="1:6" s="4" customFormat="1" ht="15">
      <c r="B31" s="6" t="s">
        <v>16</v>
      </c>
    </row>
    <row r="33" spans="2:13" ht="15">
      <c r="B33" s="5" t="s">
        <v>19</v>
      </c>
      <c r="E33" s="5" t="s">
        <v>45</v>
      </c>
    </row>
    <row r="35" spans="2:13" ht="45">
      <c r="B35" s="12" t="s">
        <v>17</v>
      </c>
      <c r="C35" s="12" t="s">
        <v>21</v>
      </c>
      <c r="D35" s="12" t="s">
        <v>18</v>
      </c>
      <c r="E35" s="12" t="s">
        <v>20</v>
      </c>
      <c r="F35" s="12" t="s">
        <v>41</v>
      </c>
      <c r="G35" s="12" t="s">
        <v>42</v>
      </c>
      <c r="H35" s="12" t="s">
        <v>22</v>
      </c>
      <c r="L35" s="12" t="s">
        <v>17</v>
      </c>
      <c r="M35" s="12" t="s">
        <v>42</v>
      </c>
    </row>
    <row r="36" spans="2:13">
      <c r="B36" s="9">
        <v>1</v>
      </c>
      <c r="C36" s="28">
        <f>+E23</f>
        <v>7929.3330000000005</v>
      </c>
      <c r="D36" s="11">
        <v>0.05</v>
      </c>
      <c r="E36" s="28">
        <f>C36*D36</f>
        <v>396.46665000000007</v>
      </c>
      <c r="F36" s="9">
        <f>ROUNDUP((E36/25),0)</f>
        <v>16</v>
      </c>
      <c r="G36" s="9">
        <f>+F36*4</f>
        <v>64</v>
      </c>
      <c r="H36" s="31">
        <f>ROUNDUP(((E36*4)/$F$28),0)</f>
        <v>1</v>
      </c>
      <c r="L36" s="9">
        <v>1</v>
      </c>
      <c r="M36" s="10">
        <f>+G36</f>
        <v>64</v>
      </c>
    </row>
    <row r="37" spans="2:13">
      <c r="B37" s="9">
        <v>2</v>
      </c>
      <c r="C37" s="28">
        <f>+C36</f>
        <v>7929.3330000000005</v>
      </c>
      <c r="D37" s="11">
        <v>0.1</v>
      </c>
      <c r="E37" s="28">
        <f>C37*D37</f>
        <v>792.93330000000014</v>
      </c>
      <c r="F37" s="9">
        <f t="shared" ref="F37:F40" si="0">ROUNDUP((E37/25),0)</f>
        <v>32</v>
      </c>
      <c r="G37" s="9">
        <f t="shared" ref="G37:G40" si="1">+F37*4</f>
        <v>128</v>
      </c>
      <c r="H37" s="31">
        <f t="shared" ref="H37:H40" si="2">ROUNDUP(((E37*4)/$F$28),0)</f>
        <v>1</v>
      </c>
      <c r="L37" s="9">
        <v>2</v>
      </c>
      <c r="M37" s="10">
        <f t="shared" ref="M37:M41" si="3">+G37</f>
        <v>128</v>
      </c>
    </row>
    <row r="38" spans="2:13">
      <c r="B38" s="9">
        <v>3</v>
      </c>
      <c r="C38" s="28">
        <f t="shared" ref="C38:C40" si="4">+C37</f>
        <v>7929.3330000000005</v>
      </c>
      <c r="D38" s="11">
        <v>0.13</v>
      </c>
      <c r="E38" s="28">
        <f>C38*D38</f>
        <v>1030.8132900000001</v>
      </c>
      <c r="F38" s="9">
        <f t="shared" si="0"/>
        <v>42</v>
      </c>
      <c r="G38" s="9">
        <f t="shared" si="1"/>
        <v>168</v>
      </c>
      <c r="H38" s="31">
        <f t="shared" si="2"/>
        <v>1</v>
      </c>
      <c r="L38" s="9">
        <v>3</v>
      </c>
      <c r="M38" s="10">
        <f t="shared" si="3"/>
        <v>168</v>
      </c>
    </row>
    <row r="39" spans="2:13">
      <c r="B39" s="9">
        <v>4</v>
      </c>
      <c r="C39" s="28">
        <f t="shared" si="4"/>
        <v>7929.3330000000005</v>
      </c>
      <c r="D39" s="11">
        <v>0.18</v>
      </c>
      <c r="E39" s="28">
        <f>C39*D39</f>
        <v>1427.2799400000001</v>
      </c>
      <c r="F39" s="9">
        <f t="shared" si="0"/>
        <v>58</v>
      </c>
      <c r="G39" s="9">
        <f t="shared" si="1"/>
        <v>232</v>
      </c>
      <c r="H39" s="31">
        <f t="shared" si="2"/>
        <v>1</v>
      </c>
      <c r="L39" s="9">
        <v>4</v>
      </c>
      <c r="M39" s="10">
        <f t="shared" si="3"/>
        <v>232</v>
      </c>
    </row>
    <row r="40" spans="2:13">
      <c r="B40" s="9">
        <v>5</v>
      </c>
      <c r="C40" s="28">
        <f t="shared" si="4"/>
        <v>7929.3330000000005</v>
      </c>
      <c r="D40" s="11">
        <v>0.22</v>
      </c>
      <c r="E40" s="28">
        <f>C40*D40</f>
        <v>1744.4532600000002</v>
      </c>
      <c r="F40" s="9">
        <f t="shared" si="0"/>
        <v>70</v>
      </c>
      <c r="G40" s="9">
        <f t="shared" si="1"/>
        <v>280</v>
      </c>
      <c r="H40" s="31">
        <f t="shared" si="2"/>
        <v>2</v>
      </c>
      <c r="L40" s="9">
        <v>5</v>
      </c>
      <c r="M40" s="10">
        <f t="shared" si="3"/>
        <v>280</v>
      </c>
    </row>
    <row r="41" spans="2:13">
      <c r="F41" s="14"/>
      <c r="G41" s="14"/>
      <c r="H41" s="14"/>
      <c r="M41" s="27">
        <f t="shared" si="3"/>
        <v>0</v>
      </c>
    </row>
    <row r="42" spans="2:13">
      <c r="F42" s="14"/>
      <c r="G42" s="14"/>
      <c r="H42" s="14"/>
    </row>
    <row r="43" spans="2:13">
      <c r="G43" s="14"/>
      <c r="H43" s="14"/>
    </row>
    <row r="45" spans="2:13" ht="15" customHeight="1">
      <c r="B45" s="26" t="s">
        <v>23</v>
      </c>
      <c r="C45" s="26"/>
      <c r="D45" s="26"/>
      <c r="E45" s="26"/>
      <c r="F45" s="26"/>
      <c r="G45" s="26"/>
      <c r="H45" s="26"/>
      <c r="I45" s="26"/>
      <c r="J45" s="26"/>
    </row>
    <row r="46" spans="2:13">
      <c r="B46" s="26"/>
      <c r="C46" s="26"/>
      <c r="D46" s="26"/>
      <c r="E46" s="26"/>
      <c r="F46" s="26"/>
      <c r="G46" s="26"/>
      <c r="H46" s="26"/>
      <c r="I46" s="26"/>
      <c r="J46" s="26"/>
    </row>
    <row r="47" spans="2:13">
      <c r="B47" s="26"/>
      <c r="C47" s="26"/>
      <c r="D47" s="26"/>
      <c r="E47" s="26"/>
      <c r="F47" s="26"/>
      <c r="G47" s="26"/>
      <c r="H47" s="26"/>
      <c r="I47" s="26"/>
      <c r="J47" s="26"/>
    </row>
    <row r="49" spans="3:14">
      <c r="C49" s="14" t="s">
        <v>47</v>
      </c>
      <c r="D49" s="14" t="s">
        <v>48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3:14">
      <c r="C50" s="14" t="s">
        <v>49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3:14" ht="15">
      <c r="C51" s="17" t="s">
        <v>50</v>
      </c>
      <c r="D51" s="17" t="s">
        <v>51</v>
      </c>
      <c r="E51" s="17" t="s">
        <v>52</v>
      </c>
      <c r="F51" s="17" t="s">
        <v>53</v>
      </c>
      <c r="G51" s="14"/>
      <c r="H51" s="14"/>
      <c r="I51" s="14"/>
      <c r="J51" s="14"/>
      <c r="K51" s="14"/>
      <c r="L51" s="14"/>
      <c r="M51" s="14"/>
      <c r="N51" s="14"/>
    </row>
    <row r="52" spans="3:14">
      <c r="C52" s="14" t="s">
        <v>17</v>
      </c>
      <c r="D52" s="14" t="s">
        <v>54</v>
      </c>
      <c r="E52" s="14"/>
      <c r="F52" s="14"/>
      <c r="G52" s="14"/>
      <c r="H52" s="14"/>
      <c r="I52" s="14"/>
      <c r="J52" s="14"/>
      <c r="K52" s="14">
        <f>+C58</f>
        <v>15</v>
      </c>
      <c r="L52" s="14">
        <f>C58*D58</f>
        <v>8880</v>
      </c>
      <c r="M52" s="14">
        <f>+C58</f>
        <v>15</v>
      </c>
      <c r="N52" s="14">
        <f>+D58</f>
        <v>592</v>
      </c>
    </row>
    <row r="53" spans="3:14">
      <c r="C53" s="14">
        <v>1</v>
      </c>
      <c r="D53" s="14">
        <f>+G36</f>
        <v>64</v>
      </c>
      <c r="E53" s="14">
        <f>+C53*D53</f>
        <v>64</v>
      </c>
      <c r="F53" s="14">
        <f>+C53*C53</f>
        <v>1</v>
      </c>
      <c r="G53" s="14"/>
      <c r="H53" s="14"/>
      <c r="I53" s="14"/>
      <c r="J53" s="14"/>
      <c r="K53" s="14">
        <f>+C58</f>
        <v>15</v>
      </c>
      <c r="L53" s="14">
        <f>+F58</f>
        <v>55</v>
      </c>
      <c r="M53" s="14"/>
      <c r="N53" s="14"/>
    </row>
    <row r="54" spans="3:14">
      <c r="C54" s="14">
        <v>2</v>
      </c>
      <c r="D54" s="14">
        <f>+G37</f>
        <v>128</v>
      </c>
      <c r="E54" s="14">
        <f t="shared" ref="E54:E57" si="5">+C54*D54</f>
        <v>256</v>
      </c>
      <c r="F54" s="14">
        <f t="shared" ref="F54:F57" si="6">+C54*C54</f>
        <v>4</v>
      </c>
      <c r="G54" s="14"/>
      <c r="H54" s="14"/>
      <c r="I54" s="14"/>
      <c r="J54" s="14"/>
      <c r="K54" s="14"/>
      <c r="L54" s="14"/>
      <c r="M54" s="14"/>
      <c r="N54" s="14"/>
    </row>
    <row r="55" spans="3:14">
      <c r="C55" s="14">
        <v>3</v>
      </c>
      <c r="D55" s="14">
        <f>+G38</f>
        <v>168</v>
      </c>
      <c r="E55" s="14">
        <f t="shared" si="5"/>
        <v>504</v>
      </c>
      <c r="F55" s="14">
        <f>+C55*C55</f>
        <v>9</v>
      </c>
      <c r="G55" s="14"/>
      <c r="H55" s="14"/>
      <c r="I55" s="14"/>
      <c r="J55" s="14"/>
      <c r="K55" s="30">
        <f>+((K52*L52)-(M52*N52))/((K53*L53)-L53)</f>
        <v>161.45454545454547</v>
      </c>
      <c r="L55" s="14"/>
      <c r="M55" s="14"/>
      <c r="N55" s="14"/>
    </row>
    <row r="56" spans="3:14">
      <c r="C56" s="14">
        <v>4</v>
      </c>
      <c r="D56" s="14">
        <f>+G39</f>
        <v>232</v>
      </c>
      <c r="E56" s="14">
        <f t="shared" si="5"/>
        <v>928</v>
      </c>
      <c r="F56" s="14">
        <f t="shared" si="6"/>
        <v>16</v>
      </c>
      <c r="G56" s="14"/>
      <c r="H56" s="14"/>
      <c r="I56" s="14"/>
      <c r="J56" s="14"/>
      <c r="K56" s="14"/>
      <c r="L56" s="14"/>
      <c r="M56" s="14"/>
      <c r="N56" s="14"/>
    </row>
    <row r="57" spans="3:14">
      <c r="C57" s="14">
        <v>5</v>
      </c>
      <c r="D57" s="14">
        <f>+G40</f>
        <v>280</v>
      </c>
      <c r="E57" s="14">
        <f t="shared" si="5"/>
        <v>1400</v>
      </c>
      <c r="F57" s="14">
        <f t="shared" si="6"/>
        <v>25</v>
      </c>
      <c r="G57" s="14"/>
      <c r="H57" s="14"/>
      <c r="I57" s="14"/>
      <c r="J57" s="14"/>
      <c r="K57" s="14"/>
      <c r="L57" s="14"/>
      <c r="M57" s="14"/>
      <c r="N57" s="14"/>
    </row>
    <row r="58" spans="3:14" ht="15">
      <c r="C58" s="5">
        <f>SUM(C53:C57)</f>
        <v>15</v>
      </c>
      <c r="D58" s="5">
        <f>SUM(D53:D56)</f>
        <v>592</v>
      </c>
      <c r="E58" s="5">
        <f>SUM(E53:E56)</f>
        <v>1752</v>
      </c>
      <c r="F58" s="5">
        <f>SUM(F53:F57)</f>
        <v>55</v>
      </c>
      <c r="G58" s="14"/>
      <c r="H58" s="14"/>
      <c r="I58" s="14"/>
      <c r="J58" s="14"/>
      <c r="K58" s="14"/>
      <c r="L58" s="14"/>
      <c r="M58" s="14"/>
      <c r="N58" s="14"/>
    </row>
    <row r="59" spans="3:14">
      <c r="G59" s="14"/>
      <c r="H59" s="14"/>
      <c r="I59" s="14"/>
      <c r="J59" s="14"/>
      <c r="K59" s="14"/>
      <c r="L59" s="14"/>
      <c r="M59" s="14"/>
      <c r="N59" s="14"/>
    </row>
  </sheetData>
  <mergeCells count="5">
    <mergeCell ref="B45:J47"/>
    <mergeCell ref="A7:A8"/>
    <mergeCell ref="B7:I8"/>
    <mergeCell ref="A9:A10"/>
    <mergeCell ref="B9:I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presentación </vt:lpstr>
      <vt:lpstr>Proyección de la 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Noriega Apango Jocelyn</dc:creator>
  <cp:lastModifiedBy>ARANA SANCHEZ ABIRAM</cp:lastModifiedBy>
  <dcterms:created xsi:type="dcterms:W3CDTF">2025-10-15T21:38:18Z</dcterms:created>
  <dcterms:modified xsi:type="dcterms:W3CDTF">2025-10-18T23:25:42Z</dcterms:modified>
</cp:coreProperties>
</file>